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Tier_Ladder" sheetId="2" state="visible" r:id="rId2"/>
    <sheet name="Resources" sheetId="3" state="visible" r:id="rId3"/>
    <sheet name="Recipes" sheetId="4" state="visible" r:id="rId4"/>
    <sheet name="Adjacency_Pairs" sheetId="5" state="visible" r:id="rId5"/>
    <sheet name="People_Costs" sheetId="6" state="visible" r:id="rId6"/>
    <sheet name="Pop_Tiers" sheetId="7" state="visible" r:id="rId7"/>
    <sheet name="Storage_Caps" sheetId="8" state="visible" r:id="rId8"/>
    <sheet name="Fuel_Costs" sheetId="9" state="visible" r:id="rId9"/>
    <sheet name="Ships" sheetId="10" state="visible" r:id="rId10"/>
    <sheet name="Tier_Gates" sheetId="11" state="visible" r:id="rId11"/>
    <sheet name="Action_Durations" sheetId="12" state="visible" r:id="rId12"/>
    <sheet name="Earth_Prefab_Kits" sheetId="13" state="visible" r:id="rId13"/>
    <sheet name="T1_T2_Chain_Math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$#,##0;($#,##0);-"/>
    <numFmt numFmtId="166" formatCode="&quot;+&quot;0&quot; cap&quot;"/>
    <numFmt numFmtId="167" formatCode="0.00&quot;×&quot;"/>
    <numFmt numFmtId="168" formatCode="0.0"/>
    <numFmt numFmtId="169" formatCode="0.0&quot;×&quot;"/>
    <numFmt numFmtId="170" formatCode="$#,##0.00;($#,##0.00);-"/>
    <numFmt numFmtId="171" formatCode="0.0000"/>
    <numFmt numFmtId="172" formatCode="0.0;[Red]-0.0"/>
    <numFmt numFmtId="173" formatCode="0;[Red]-0"/>
  </numFmts>
  <fonts count="13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i val="1"/>
      <color rgb="00606060"/>
      <sz val="9"/>
    </font>
    <font>
      <name val="Arial"/>
      <b val="1"/>
      <color rgb="00FFFFFF"/>
    </font>
    <font>
      <name val="Arial"/>
      <b val="1"/>
      <color rgb="000563C1"/>
      <u val="single"/>
    </font>
    <font>
      <name val="Arial"/>
    </font>
    <font>
      <name val="Arial"/>
      <b val="1"/>
    </font>
    <font>
      <name val="Arial"/>
      <color rgb="000000FF"/>
    </font>
    <font>
      <name val="Arial"/>
      <color rgb="00000000"/>
    </font>
    <font>
      <name val="Arial"/>
      <color rgb="00008000"/>
    </font>
    <font>
      <name val="Arial"/>
      <b val="1"/>
      <sz val="14"/>
    </font>
    <font>
      <name val="Arial"/>
      <b val="1"/>
      <sz val="16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0" borderId="1" pivotButton="0" quotePrefix="0" xfId="0"/>
    <xf numFmtId="0" fontId="7" fillId="3" borderId="1" pivotButton="0" quotePrefix="0" xfId="0"/>
    <xf numFmtId="0" fontId="8" fillId="3" borderId="1" pivotButton="0" quotePrefix="0" xfId="0"/>
    <xf numFmtId="164" fontId="8" fillId="3" borderId="1" pivotButton="0" quotePrefix="0" xfId="0"/>
    <xf numFmtId="0" fontId="7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2" fontId="8" fillId="0" borderId="1" pivotButton="0" quotePrefix="0" xfId="0"/>
    <xf numFmtId="165" fontId="9" fillId="0" borderId="1" pivotButton="0" quotePrefix="0" xfId="0"/>
    <xf numFmtId="165" fontId="8" fillId="0" borderId="1" pivotButton="0" quotePrefix="0" xfId="0"/>
    <xf numFmtId="9" fontId="7" fillId="0" borderId="1" pivotButton="0" quotePrefix="0" xfId="0"/>
    <xf numFmtId="166" fontId="7" fillId="0" borderId="1" pivotButton="0" quotePrefix="0" xfId="0"/>
    <xf numFmtId="0" fontId="10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167" fontId="7" fillId="0" borderId="1" pivotButton="0" quotePrefix="0" xfId="0"/>
    <xf numFmtId="168" fontId="8" fillId="0" borderId="1" pivotButton="0" quotePrefix="0" xfId="0"/>
    <xf numFmtId="169" fontId="8" fillId="0" borderId="1" pivotButton="0" quotePrefix="0" xfId="0"/>
    <xf numFmtId="2" fontId="7" fillId="0" borderId="0" pivotButton="0" quotePrefix="0" xfId="0"/>
    <xf numFmtId="0" fontId="9" fillId="0" borderId="1" pivotButton="0" quotePrefix="0" xfId="0"/>
    <xf numFmtId="167" fontId="9" fillId="0" borderId="1" pivotButton="0" quotePrefix="0" xfId="0"/>
    <xf numFmtId="165" fontId="7" fillId="0" borderId="1" pivotButton="0" quotePrefix="0" xfId="0"/>
    <xf numFmtId="170" fontId="8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11" fillId="0" borderId="0" pivotButton="0" quotePrefix="0" xfId="0"/>
    <xf numFmtId="0" fontId="12" fillId="4" borderId="0" pivotButton="0" quotePrefix="0" xfId="0"/>
    <xf numFmtId="0" fontId="0" fillId="4" borderId="0" pivotButton="0" quotePrefix="0" xfId="0"/>
    <xf numFmtId="167" fontId="7" fillId="0" borderId="0" pivotButton="0" quotePrefix="0" xfId="0"/>
    <xf numFmtId="168" fontId="8" fillId="0" borderId="0" pivotButton="0" quotePrefix="0" xfId="0"/>
    <xf numFmtId="171" fontId="7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2" fontId="9" fillId="0" borderId="1" pivotButton="0" quotePrefix="0" xfId="0"/>
    <xf numFmtId="168" fontId="9" fillId="0" borderId="0" pivotButton="0" quotePrefix="0" xfId="0"/>
    <xf numFmtId="172" fontId="8" fillId="0" borderId="0" pivotButton="0" quotePrefix="0" xfId="0"/>
    <xf numFmtId="173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Tier_Ladder!A1" TargetMode="External" Id="rId1" /><Relationship Type="http://schemas.openxmlformats.org/officeDocument/2006/relationships/hyperlink" Target="#Resources!A1" TargetMode="External" Id="rId2" /><Relationship Type="http://schemas.openxmlformats.org/officeDocument/2006/relationships/hyperlink" Target="#Recipes!A1" TargetMode="External" Id="rId3" /><Relationship Type="http://schemas.openxmlformats.org/officeDocument/2006/relationships/hyperlink" Target="#Adjacency_Pairs!A1" TargetMode="External" Id="rId4" /><Relationship Type="http://schemas.openxmlformats.org/officeDocument/2006/relationships/hyperlink" Target="#People_Costs!A1" TargetMode="External" Id="rId5" /><Relationship Type="http://schemas.openxmlformats.org/officeDocument/2006/relationships/hyperlink" Target="#Pop_Tiers!A1" TargetMode="External" Id="rId6" /><Relationship Type="http://schemas.openxmlformats.org/officeDocument/2006/relationships/hyperlink" Target="#Storage_Caps!A1" TargetMode="External" Id="rId7" /><Relationship Type="http://schemas.openxmlformats.org/officeDocument/2006/relationships/hyperlink" Target="#Fuel_Costs!A1" TargetMode="External" Id="rId8" /><Relationship Type="http://schemas.openxmlformats.org/officeDocument/2006/relationships/hyperlink" Target="#Ships!A1" TargetMode="External" Id="rId9" /><Relationship Type="http://schemas.openxmlformats.org/officeDocument/2006/relationships/hyperlink" Target="#Tier_Gates!A1" TargetMode="External" Id="rId10" /><Relationship Type="http://schemas.openxmlformats.org/officeDocument/2006/relationships/hyperlink" Target="#Action_Durations!A1" TargetMode="External" Id="rId11" /><Relationship Type="http://schemas.openxmlformats.org/officeDocument/2006/relationships/hyperlink" Target="#Earth_Prefab_Kits!A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1" t="inlineStr">
        <is>
          <t>VoidYield 2 — Balance Sheet</t>
        </is>
      </c>
    </row>
    <row r="2">
      <c r="A2" s="2" t="inlineStr">
        <is>
          <t>Source: GAME.md (Part I) — extracted 2026-04-29 after Round 12 (R72–R77)</t>
        </is>
      </c>
    </row>
    <row r="3">
      <c r="A3" s="2" t="inlineStr">
        <is>
          <t>All values are placeholders for Stage 3 playtest tuning. Edit blue cells; black cells recalculate.</t>
        </is>
      </c>
    </row>
    <row r="5">
      <c r="A5" s="3" t="inlineStr">
        <is>
          <t>Sheet</t>
        </is>
      </c>
      <c r="B5" s="3" t="inlineStr">
        <is>
          <t>Contents</t>
        </is>
      </c>
    </row>
    <row r="6" ht="28" customHeight="1">
      <c r="A6" s="4" t="inlineStr">
        <is>
          <t>Tier_Ladder</t>
        </is>
      </c>
      <c r="B6" s="5" t="inlineStr">
        <is>
          <t>8 named tiers (T0 Wildcatter → T7 System Corporation), gate conditions, headline capabilities</t>
        </is>
      </c>
    </row>
    <row r="7" ht="28" customHeight="1">
      <c r="A7" s="4" t="inlineStr">
        <is>
          <t>Resources</t>
        </is>
      </c>
      <c r="B7" s="5" t="inlineStr">
        <is>
          <t>All 27 resources T0–T3: tier, class, cargo, Earth buy/sell prices + computed margin/margin%</t>
        </is>
      </c>
    </row>
    <row r="8" ht="28" customHeight="1">
      <c r="A8" s="4" t="inlineStr">
        <is>
          <t>Recipes</t>
        </is>
      </c>
      <c r="B8" s="5" t="inlineStr">
        <is>
          <t>All 31 recipes T0–T3: cycle time, inputs, outputs, derived rate/min, value-add/cycle</t>
        </is>
      </c>
    </row>
    <row r="9" ht="28" customHeight="1">
      <c r="A9" s="4" t="inlineStr">
        <is>
          <t>Adjacency_Pairs</t>
        </is>
      </c>
      <c r="B9" s="5" t="inlineStr">
        <is>
          <t>All 22 pair-type bonuses T0–T3 (R72): placer + pair + bonus magnitude</t>
        </is>
      </c>
    </row>
    <row r="10" ht="28" customHeight="1">
      <c r="A10" s="4" t="inlineStr">
        <is>
          <t>People_Costs</t>
        </is>
      </c>
      <c r="B10" s="5" t="inlineStr">
        <is>
          <t>All buildings + people_cost (R73). Sanity-check: total starter T0 chain cost vs. 8-person crew</t>
        </is>
      </c>
    </row>
    <row r="11" ht="28" customHeight="1">
      <c r="A11" s="4" t="inlineStr">
        <is>
          <t>Pop_Tiers</t>
        </is>
      </c>
      <c r="B11" s="5" t="inlineStr">
        <is>
          <t>Six pop tiers + multipliers + settle-in windows + continuous needs + growth-tier bundles</t>
        </is>
      </c>
    </row>
    <row r="12" ht="28" customHeight="1">
      <c r="A12" s="4" t="inlineStr">
        <is>
          <t>Storage_Caps</t>
        </is>
      </c>
      <c r="B12" s="5" t="inlineStr">
        <is>
          <t>Silo/Tank/Cryo capacities by tier transition</t>
        </is>
      </c>
    </row>
    <row r="13" ht="28" customHeight="1">
      <c r="A13" s="4" t="inlineStr">
        <is>
          <t>Fuel_Costs</t>
        </is>
      </c>
      <c r="B13" s="5" t="inlineStr">
        <is>
          <t>Per-route base fuel costs (R74); window multipliers; computed leg costs by hull</t>
        </is>
      </c>
    </row>
    <row r="14" ht="28" customHeight="1">
      <c r="A14" s="4" t="inlineStr">
        <is>
          <t>Ships</t>
        </is>
      </c>
      <c r="B14" s="5" t="inlineStr">
        <is>
          <t>6 hull catalog T0–T2 (capacity, speed, fuel/route multiplier, Earth buy)</t>
        </is>
      </c>
    </row>
    <row r="15" ht="28" customHeight="1">
      <c r="A15" s="4" t="inlineStr">
        <is>
          <t>Tier_Gates</t>
        </is>
      </c>
      <c r="B15" s="5" t="inlineStr">
        <is>
          <t>Primary + alternate fulfillment for T0→T1 through T3→T4 (R76)</t>
        </is>
      </c>
    </row>
    <row r="16" ht="28" customHeight="1">
      <c r="A16" s="4" t="inlineStr">
        <is>
          <t>Action_Durations</t>
        </is>
      </c>
      <c r="B16" s="5" t="inlineStr">
        <is>
          <t>Build/transit/cycle times across the game</t>
        </is>
      </c>
    </row>
    <row r="17" ht="28" customHeight="1">
      <c r="A17" s="4" t="inlineStr">
        <is>
          <t>Earth_Prefab_Kits</t>
        </is>
      </c>
      <c r="B17" s="5" t="inlineStr">
        <is>
          <t>T1–T3 Earth-bought prefab kits (1-of-1 per tier)</t>
        </is>
      </c>
    </row>
    <row r="20">
      <c r="A20" s="6" t="inlineStr">
        <is>
          <t>Color Legend</t>
        </is>
      </c>
    </row>
    <row r="21">
      <c r="A21" s="7" t="inlineStr">
        <is>
          <t>Blue cells</t>
        </is>
      </c>
      <c r="B21" t="inlineStr">
        <is>
          <t>Hardcoded inputs from GAME.md — change to test what-if scenarios.</t>
        </is>
      </c>
    </row>
    <row r="22">
      <c r="A22" s="8" t="inlineStr">
        <is>
          <t>Black cells</t>
        </is>
      </c>
      <c r="B22" t="inlineStr">
        <is>
          <t>Computed formulas — recalculate when inputs change.</t>
        </is>
      </c>
    </row>
    <row r="23">
      <c r="A23" s="9" t="inlineStr">
        <is>
          <t>Green cells</t>
        </is>
      </c>
      <c r="B23" t="inlineStr">
        <is>
          <t>Cross-sheet links — pull values from other sheets.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50" customWidth="1" min="4" max="4"/>
    <col width="50" customWidth="1" min="5" max="5"/>
  </cols>
  <sheetData>
    <row r="1" ht="28" customHeight="1">
      <c r="A1" s="10" t="inlineStr">
        <is>
          <t>Tier</t>
        </is>
      </c>
      <c r="B1" s="10" t="inlineStr">
        <is>
          <t>Name</t>
        </is>
      </c>
      <c r="C1" s="10" t="inlineStr">
        <is>
          <t>Region Unlocked</t>
        </is>
      </c>
      <c r="D1" s="10" t="inlineStr">
        <is>
          <t>Gate to Next Tier</t>
        </is>
      </c>
      <c r="E1" s="10" t="inlineStr">
        <is>
          <t>Headline New Capability</t>
        </is>
      </c>
    </row>
    <row r="2">
      <c r="A2" s="11" t="inlineStr">
        <is>
          <t>T0</t>
        </is>
      </c>
      <c r="B2" s="11" t="inlineStr">
        <is>
          <t>Wildcatter</t>
        </is>
      </c>
      <c r="C2" s="11" t="inlineStr">
        <is>
          <t>Earth orbit + 1 NEA</t>
        </is>
      </c>
      <c r="D2" s="11" t="inlineStr">
        <is>
          <t>Sell N metals to Earth</t>
        </is>
      </c>
      <c r="E2" s="11" t="inlineStr">
        <is>
          <t>Ship surveying, basic mining</t>
        </is>
      </c>
    </row>
    <row r="3">
      <c r="A3" s="12" t="inlineStr">
        <is>
          <t>T1</t>
        </is>
      </c>
      <c r="B3" s="12" t="inlineStr">
        <is>
          <t>Lunar Foothold</t>
        </is>
      </c>
      <c r="C3" s="12" t="inlineStr">
        <is>
          <t>Moon orbit + lunar surface site</t>
        </is>
      </c>
      <c r="D3" s="12" t="inlineStr">
        <is>
          <t>First habitat reaches Pop 50</t>
        </is>
      </c>
      <c r="E3" s="12" t="inlineStr">
        <is>
          <t>First colony, life-support imports</t>
        </is>
      </c>
    </row>
    <row r="4">
      <c r="A4" s="11" t="inlineStr">
        <is>
          <t>T2</t>
        </is>
      </c>
      <c r="B4" s="11" t="inlineStr">
        <is>
          <t>NEA Industry</t>
        </is>
      </c>
      <c r="C4" s="11" t="inlineStr">
        <is>
          <t>NEA cluster (3–5 asteroids)</t>
        </is>
      </c>
      <c r="D4" s="11" t="inlineStr">
        <is>
          <t>Local oxygen + water production</t>
        </is>
      </c>
      <c r="E4" s="11" t="inlineStr">
        <is>
          <t>Tankers, fluid/gas cargo class</t>
        </is>
      </c>
    </row>
    <row r="5">
      <c r="A5" s="12" t="inlineStr">
        <is>
          <t>T3</t>
        </is>
      </c>
      <c r="B5" s="12" t="inlineStr">
        <is>
          <t>Cislunar Network</t>
        </is>
      </c>
      <c r="C5" s="12" t="inlineStr">
        <is>
          <t>Rare-trace NEAs (~15–20% of NEAs)</t>
        </is>
      </c>
      <c r="D5" s="12" t="inlineStr">
        <is>
          <t>Mars shipyard built; Networked-tier colony</t>
        </is>
      </c>
      <c r="E5" s="12" t="inlineStr">
        <is>
          <t>Maintain-stock + surplus-export rules; Networked pop tier</t>
        </is>
      </c>
    </row>
    <row r="6">
      <c r="A6" s="11" t="inlineStr">
        <is>
          <t>T4</t>
        </is>
      </c>
      <c r="B6" s="11" t="inlineStr">
        <is>
          <t>Martian Reach</t>
        </is>
      </c>
      <c r="C6" s="11" t="inlineStr">
        <is>
          <t>Mars orbit + Phobos/Deimos</t>
        </is>
      </c>
      <c r="D6" s="11" t="inlineStr">
        <is>
          <t>(deferred to T4 drill — Pending #39)</t>
        </is>
      </c>
      <c r="E6" s="11" t="inlineStr">
        <is>
          <t>Local shipbuilding, advanced alloys</t>
        </is>
      </c>
    </row>
    <row r="7">
      <c r="A7" s="12" t="inlineStr">
        <is>
          <t>T5</t>
        </is>
      </c>
      <c r="B7" s="12" t="inlineStr">
        <is>
          <t>Belt Operations</t>
        </is>
      </c>
      <c r="C7" s="12" t="inlineStr">
        <is>
          <t>Main belt mining hub</t>
        </is>
      </c>
      <c r="D7" s="12" t="inlineStr">
        <is>
          <t>3 tier-3 colonies sustaining</t>
        </is>
      </c>
      <c r="E7" s="12" t="inlineStr">
        <is>
          <t>Bulk haulers, advanced refining</t>
        </is>
      </c>
    </row>
    <row r="8">
      <c r="A8" s="11" t="inlineStr">
        <is>
          <t>T6</t>
        </is>
      </c>
      <c r="B8" s="11" t="inlineStr">
        <is>
          <t>Jovian Frontier</t>
        </is>
      </c>
      <c r="C8" s="11" t="inlineStr">
        <is>
          <t>Jovian moons (Europa/Ganymede focus)</t>
        </is>
      </c>
      <c r="D8" s="11" t="inlineStr">
        <is>
          <t>Helium-3 / heavy isotope chain</t>
        </is>
      </c>
      <c r="E8" s="11" t="inlineStr">
        <is>
          <t>Long-range drives, ice giants</t>
        </is>
      </c>
    </row>
    <row r="9">
      <c r="A9" s="12" t="inlineStr">
        <is>
          <t>T7</t>
        </is>
      </c>
      <c r="B9" s="12" t="inlineStr">
        <is>
          <t>System Corporation</t>
        </is>
      </c>
      <c r="C9" s="12" t="inlineStr">
        <is>
          <t>Saturn + outer system probes</t>
        </is>
      </c>
      <c r="D9" s="12" t="inlineStr">
        <is>
          <t>Endgame milestone bundle (5–10h destination)</t>
        </is>
      </c>
      <c r="E9" s="12" t="inlineStr">
        <is>
          <t>Prestige unlock</t>
        </is>
      </c>
    </row>
    <row r="11">
      <c r="A11" s="2" t="inlineStr">
        <is>
          <t>Note: gate conditions are 'content gates, not paywalls' — every gate is something the player produces or builds.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6" customWidth="1" min="3" max="3"/>
    <col width="14" customWidth="1" min="4" max="4"/>
    <col width="12" customWidth="1" min="5" max="5"/>
    <col width="11" customWidth="1" min="6" max="6"/>
    <col width="11" customWidth="1" min="7" max="7"/>
    <col width="17" customWidth="1" min="8" max="8"/>
    <col width="12" customWidth="1" min="9" max="9"/>
    <col width="35" customWidth="1" min="10" max="10"/>
  </cols>
  <sheetData>
    <row r="1" ht="28" customHeight="1">
      <c r="A1" s="10" t="inlineStr">
        <is>
          <t>#</t>
        </is>
      </c>
      <c r="B1" s="10" t="inlineStr">
        <is>
          <t>Resource</t>
        </is>
      </c>
      <c r="C1" s="10" t="inlineStr">
        <is>
          <t>Tier</t>
        </is>
      </c>
      <c r="D1" s="10" t="inlineStr">
        <is>
          <t>Class</t>
        </is>
      </c>
      <c r="E1" s="10" t="inlineStr">
        <is>
          <t>Cargo</t>
        </is>
      </c>
      <c r="F1" s="10" t="inlineStr">
        <is>
          <t>Earth Buy</t>
        </is>
      </c>
      <c r="G1" s="10" t="inlineStr">
        <is>
          <t>Earth Sell</t>
        </is>
      </c>
      <c r="H1" s="10" t="inlineStr">
        <is>
          <t>Margin (Buy-Sell)</t>
        </is>
      </c>
      <c r="I1" s="10" t="inlineStr">
        <is>
          <t>Margin %</t>
        </is>
      </c>
      <c r="J1" s="10" t="inlineStr">
        <is>
          <t>Notes</t>
        </is>
      </c>
    </row>
    <row r="2">
      <c r="A2" s="11" t="n">
        <v>1</v>
      </c>
      <c r="B2" s="11" t="inlineStr">
        <is>
          <t>Iron Ore</t>
        </is>
      </c>
      <c r="C2" s="11" t="inlineStr">
        <is>
          <t>T0</t>
        </is>
      </c>
      <c r="D2" s="11" t="inlineStr">
        <is>
          <t>Raw</t>
        </is>
      </c>
      <c r="E2" s="11" t="inlineStr">
        <is>
          <t>Solid</t>
        </is>
      </c>
      <c r="F2" s="13" t="n">
        <v>3</v>
      </c>
      <c r="G2" s="13" t="n">
        <v>1</v>
      </c>
      <c r="H2" s="14">
        <f>F2-G2</f>
        <v/>
      </c>
      <c r="I2" s="15">
        <f>IFERROR((F2-G2)/F2,0)</f>
        <v/>
      </c>
      <c r="J2" s="11" t="inlineStr"/>
    </row>
    <row r="3">
      <c r="A3" s="12" t="n">
        <v>2</v>
      </c>
      <c r="B3" s="12" t="inlineStr">
        <is>
          <t>Water Ice</t>
        </is>
      </c>
      <c r="C3" s="12" t="inlineStr">
        <is>
          <t>T0</t>
        </is>
      </c>
      <c r="D3" s="12" t="inlineStr">
        <is>
          <t>Raw</t>
        </is>
      </c>
      <c r="E3" s="12" t="inlineStr">
        <is>
          <t>Solid</t>
        </is>
      </c>
      <c r="F3" s="16" t="n">
        <v>4</v>
      </c>
      <c r="G3" s="16" t="n">
        <v>2</v>
      </c>
      <c r="H3" s="17">
        <f>F3-G3</f>
        <v/>
      </c>
      <c r="I3" s="18">
        <f>IFERROR((F3-G3)/F3,0)</f>
        <v/>
      </c>
      <c r="J3" s="12" t="inlineStr"/>
    </row>
    <row r="4">
      <c r="A4" s="11" t="n">
        <v>3</v>
      </c>
      <c r="B4" s="11" t="inlineStr">
        <is>
          <t>Refined Metal</t>
        </is>
      </c>
      <c r="C4" s="11" t="inlineStr">
        <is>
          <t>T0</t>
        </is>
      </c>
      <c r="D4" s="11" t="inlineStr">
        <is>
          <t>Intermediate</t>
        </is>
      </c>
      <c r="E4" s="11" t="inlineStr">
        <is>
          <t>Solid</t>
        </is>
      </c>
      <c r="F4" s="13" t="n">
        <v>18</v>
      </c>
      <c r="G4" s="13" t="n">
        <v>12</v>
      </c>
      <c r="H4" s="14">
        <f>F4-G4</f>
        <v/>
      </c>
      <c r="I4" s="15">
        <f>IFERROR((F4-G4)/F4,0)</f>
        <v/>
      </c>
      <c r="J4" s="11" t="inlineStr"/>
    </row>
    <row r="5">
      <c r="A5" s="12" t="n">
        <v>4</v>
      </c>
      <c r="B5" s="12" t="inlineStr">
        <is>
          <t>Hydrogen Fuel</t>
        </is>
      </c>
      <c r="C5" s="12" t="inlineStr">
        <is>
          <t>T0</t>
        </is>
      </c>
      <c r="D5" s="12" t="inlineStr">
        <is>
          <t>Intermediate</t>
        </is>
      </c>
      <c r="E5" s="12" t="inlineStr">
        <is>
          <t>Fluid/Gas</t>
        </is>
      </c>
      <c r="F5" s="16" t="n">
        <v>8</v>
      </c>
      <c r="G5" s="16" t="n">
        <v>5</v>
      </c>
      <c r="H5" s="17">
        <f>F5-G5</f>
        <v/>
      </c>
      <c r="I5" s="18">
        <f>IFERROR((F5-G5)/F5,0)</f>
        <v/>
      </c>
      <c r="J5" s="12" t="inlineStr">
        <is>
          <t>v1 fuel through T2</t>
        </is>
      </c>
    </row>
    <row r="6">
      <c r="A6" s="11" t="n">
        <v>5</v>
      </c>
      <c r="B6" s="11" t="inlineStr">
        <is>
          <t>Oxygen</t>
        </is>
      </c>
      <c r="C6" s="11" t="inlineStr">
        <is>
          <t>T0*</t>
        </is>
      </c>
      <c r="D6" s="11" t="inlineStr">
        <is>
          <t>Intermediate</t>
        </is>
      </c>
      <c r="E6" s="11" t="inlineStr">
        <is>
          <t>Fluid/Gas</t>
        </is>
      </c>
      <c r="F6" s="13" t="n">
        <v>6</v>
      </c>
      <c r="G6" s="13" t="n">
        <v>3</v>
      </c>
      <c r="H6" s="14">
        <f>F6-G6</f>
        <v/>
      </c>
      <c r="I6" s="15">
        <f>IFERROR((F6-G6)/F6,0)</f>
        <v/>
      </c>
      <c r="J6" s="11" t="inlineStr">
        <is>
          <t>Electrolysis byproduct; load-bearing at T1</t>
        </is>
      </c>
    </row>
    <row r="7">
      <c r="A7" s="12" t="n">
        <v>6</v>
      </c>
      <c r="B7" s="12" t="inlineStr">
        <is>
          <t>Lunar Regolith</t>
        </is>
      </c>
      <c r="C7" s="12" t="inlineStr">
        <is>
          <t>T1</t>
        </is>
      </c>
      <c r="D7" s="12" t="inlineStr">
        <is>
          <t>Raw</t>
        </is>
      </c>
      <c r="E7" s="12" t="inlineStr">
        <is>
          <t>Solid</t>
        </is>
      </c>
      <c r="F7" s="16" t="n"/>
      <c r="G7" s="16" t="n">
        <v>2</v>
      </c>
      <c r="H7" s="12" t="inlineStr">
        <is>
          <t>—</t>
        </is>
      </c>
      <c r="I7" s="12" t="inlineStr">
        <is>
          <t>—</t>
        </is>
      </c>
      <c r="J7" s="12" t="inlineStr">
        <is>
          <t>No Earth buy</t>
        </is>
      </c>
    </row>
    <row r="8">
      <c r="A8" s="11" t="n">
        <v>7</v>
      </c>
      <c r="B8" s="11" t="inlineStr">
        <is>
          <t>Aluminum</t>
        </is>
      </c>
      <c r="C8" s="11" t="inlineStr">
        <is>
          <t>T1</t>
        </is>
      </c>
      <c r="D8" s="11" t="inlineStr">
        <is>
          <t>Intermediate</t>
        </is>
      </c>
      <c r="E8" s="11" t="inlineStr">
        <is>
          <t>Solid</t>
        </is>
      </c>
      <c r="F8" s="13" t="n">
        <v>22</v>
      </c>
      <c r="G8" s="13" t="n">
        <v>15</v>
      </c>
      <c r="H8" s="14">
        <f>F8-G8</f>
        <v/>
      </c>
      <c r="I8" s="15">
        <f>IFERROR((F8-G8)/F8,0)</f>
        <v/>
      </c>
      <c r="J8" s="11" t="inlineStr"/>
    </row>
    <row r="9">
      <c r="A9" s="12" t="n">
        <v>8</v>
      </c>
      <c r="B9" s="12" t="inlineStr">
        <is>
          <t>Construction Materials</t>
        </is>
      </c>
      <c r="C9" s="12" t="inlineStr">
        <is>
          <t>T1</t>
        </is>
      </c>
      <c r="D9" s="12" t="inlineStr">
        <is>
          <t>Finished</t>
        </is>
      </c>
      <c r="E9" s="12" t="inlineStr">
        <is>
          <t>Solid</t>
        </is>
      </c>
      <c r="F9" s="16" t="n">
        <v>60</v>
      </c>
      <c r="G9" s="16" t="n">
        <v>45</v>
      </c>
      <c r="H9" s="17">
        <f>F9-G9</f>
        <v/>
      </c>
      <c r="I9" s="18">
        <f>IFERROR((F9-G9)/F9,0)</f>
        <v/>
      </c>
      <c r="J9" s="12" t="inlineStr"/>
    </row>
    <row r="10">
      <c r="A10" s="11" t="n">
        <v>9</v>
      </c>
      <c r="B10" s="11" t="inlineStr">
        <is>
          <t>Food Pack</t>
        </is>
      </c>
      <c r="C10" s="11" t="inlineStr">
        <is>
          <t>T1</t>
        </is>
      </c>
      <c r="D10" s="11" t="inlineStr">
        <is>
          <t>Finished</t>
        </is>
      </c>
      <c r="E10" s="11" t="inlineStr">
        <is>
          <t>Solid</t>
        </is>
      </c>
      <c r="F10" s="13" t="n">
        <v>25</v>
      </c>
      <c r="G10" s="13" t="n">
        <v>18</v>
      </c>
      <c r="H10" s="14">
        <f>F10-G10</f>
        <v/>
      </c>
      <c r="I10" s="15">
        <f>IFERROR((F10-G10)/F10,0)</f>
        <v/>
      </c>
      <c r="J10" s="11" t="inlineStr"/>
    </row>
    <row r="11">
      <c r="A11" s="12" t="n">
        <v>10</v>
      </c>
      <c r="B11" s="12" t="inlineStr">
        <is>
          <t>Habitat Module</t>
        </is>
      </c>
      <c r="C11" s="12" t="inlineStr">
        <is>
          <t>T1</t>
        </is>
      </c>
      <c r="D11" s="12" t="inlineStr">
        <is>
          <t>Finished</t>
        </is>
      </c>
      <c r="E11" s="12" t="inlineStr">
        <is>
          <t>Solid</t>
        </is>
      </c>
      <c r="F11" s="16" t="n">
        <v>180</v>
      </c>
      <c r="G11" s="16" t="n">
        <v>130</v>
      </c>
      <c r="H11" s="17">
        <f>F11-G11</f>
        <v/>
      </c>
      <c r="I11" s="18">
        <f>IFERROR((F11-G11)/F11,0)</f>
        <v/>
      </c>
      <c r="J11" s="12" t="inlineStr">
        <is>
          <t>Earth Prefab Kit at T1</t>
        </is>
      </c>
    </row>
    <row r="12">
      <c r="A12" s="11" t="n">
        <v>11</v>
      </c>
      <c r="B12" s="11" t="inlineStr">
        <is>
          <t>Nickel Ore</t>
        </is>
      </c>
      <c r="C12" s="11" t="inlineStr">
        <is>
          <t>T2</t>
        </is>
      </c>
      <c r="D12" s="11" t="inlineStr">
        <is>
          <t>Raw</t>
        </is>
      </c>
      <c r="E12" s="11" t="inlineStr">
        <is>
          <t>Solid</t>
        </is>
      </c>
      <c r="F12" s="13" t="n">
        <v>5</v>
      </c>
      <c r="G12" s="13" t="n">
        <v>2</v>
      </c>
      <c r="H12" s="14">
        <f>F12-G12</f>
        <v/>
      </c>
      <c r="I12" s="15">
        <f>IFERROR((F12-G12)/F12,0)</f>
        <v/>
      </c>
      <c r="J12" s="11" t="inlineStr"/>
    </row>
    <row r="13">
      <c r="A13" s="12" t="n">
        <v>12</v>
      </c>
      <c r="B13" s="12" t="inlineStr">
        <is>
          <t>Carbonaceous Ore</t>
        </is>
      </c>
      <c r="C13" s="12" t="inlineStr">
        <is>
          <t>T2</t>
        </is>
      </c>
      <c r="D13" s="12" t="inlineStr">
        <is>
          <t>Raw</t>
        </is>
      </c>
      <c r="E13" s="12" t="inlineStr">
        <is>
          <t>Solid</t>
        </is>
      </c>
      <c r="F13" s="16" t="n">
        <v>4</v>
      </c>
      <c r="G13" s="16" t="n">
        <v>2</v>
      </c>
      <c r="H13" s="17">
        <f>F13-G13</f>
        <v/>
      </c>
      <c r="I13" s="18">
        <f>IFERROR((F13-G13)/F13,0)</f>
        <v/>
      </c>
      <c r="J13" s="12" t="inlineStr"/>
    </row>
    <row r="14">
      <c r="A14" s="11" t="n">
        <v>13</v>
      </c>
      <c r="B14" s="11" t="inlineStr">
        <is>
          <t>Silicates</t>
        </is>
      </c>
      <c r="C14" s="11" t="inlineStr">
        <is>
          <t>T2</t>
        </is>
      </c>
      <c r="D14" s="11" t="inlineStr">
        <is>
          <t>Raw</t>
        </is>
      </c>
      <c r="E14" s="11" t="inlineStr">
        <is>
          <t>Solid</t>
        </is>
      </c>
      <c r="F14" s="13" t="n">
        <v>4</v>
      </c>
      <c r="G14" s="13" t="n">
        <v>2</v>
      </c>
      <c r="H14" s="14">
        <f>F14-G14</f>
        <v/>
      </c>
      <c r="I14" s="15">
        <f>IFERROR((F14-G14)/F14,0)</f>
        <v/>
      </c>
      <c r="J14" s="11" t="inlineStr"/>
    </row>
    <row r="15">
      <c r="A15" s="12" t="n">
        <v>14</v>
      </c>
      <c r="B15" s="12" t="inlineStr">
        <is>
          <t>Pressure Valves</t>
        </is>
      </c>
      <c r="C15" s="12" t="inlineStr">
        <is>
          <t>T2</t>
        </is>
      </c>
      <c r="D15" s="12" t="inlineStr">
        <is>
          <t>Finished</t>
        </is>
      </c>
      <c r="E15" s="12" t="inlineStr">
        <is>
          <t>Solid</t>
        </is>
      </c>
      <c r="F15" s="16" t="n">
        <v>90</v>
      </c>
      <c r="G15" s="16" t="n">
        <v>65</v>
      </c>
      <c r="H15" s="17">
        <f>F15-G15</f>
        <v/>
      </c>
      <c r="I15" s="18">
        <f>IFERROR((F15-G15)/F15,0)</f>
        <v/>
      </c>
      <c r="J15" s="12" t="inlineStr"/>
    </row>
    <row r="16">
      <c r="A16" s="11" t="n">
        <v>15</v>
      </c>
      <c r="B16" s="11" t="inlineStr">
        <is>
          <t>Habitat Glass</t>
        </is>
      </c>
      <c r="C16" s="11" t="inlineStr">
        <is>
          <t>T2</t>
        </is>
      </c>
      <c r="D16" s="11" t="inlineStr">
        <is>
          <t>Finished</t>
        </is>
      </c>
      <c r="E16" s="11" t="inlineStr">
        <is>
          <t>Solid</t>
        </is>
      </c>
      <c r="F16" s="13" t="n">
        <v>75</v>
      </c>
      <c r="G16" s="13" t="n">
        <v>55</v>
      </c>
      <c r="H16" s="14">
        <f>F16-G16</f>
        <v/>
      </c>
      <c r="I16" s="15">
        <f>IFERROR((F16-G16)/F16,0)</f>
        <v/>
      </c>
      <c r="J16" s="11" t="inlineStr"/>
    </row>
    <row r="17">
      <c r="A17" s="12" t="n">
        <v>16</v>
      </c>
      <c r="B17" s="12" t="inlineStr">
        <is>
          <t>Carbon Mesh</t>
        </is>
      </c>
      <c r="C17" s="12" t="inlineStr">
        <is>
          <t>T2</t>
        </is>
      </c>
      <c r="D17" s="12" t="inlineStr">
        <is>
          <t>Intermediate</t>
        </is>
      </c>
      <c r="E17" s="12" t="inlineStr">
        <is>
          <t>Solid</t>
        </is>
      </c>
      <c r="F17" s="16" t="n">
        <v>40</v>
      </c>
      <c r="G17" s="16" t="n">
        <v>28</v>
      </c>
      <c r="H17" s="17">
        <f>F17-G17</f>
        <v/>
      </c>
      <c r="I17" s="18">
        <f>IFERROR((F17-G17)/F17,0)</f>
        <v/>
      </c>
      <c r="J17" s="12" t="inlineStr"/>
    </row>
    <row r="18">
      <c r="A18" s="11" t="n">
        <v>17</v>
      </c>
      <c r="B18" s="11" t="inlineStr">
        <is>
          <t>Textiles</t>
        </is>
      </c>
      <c r="C18" s="11" t="inlineStr">
        <is>
          <t>T2</t>
        </is>
      </c>
      <c r="D18" s="11" t="inlineStr">
        <is>
          <t>Finished</t>
        </is>
      </c>
      <c r="E18" s="11" t="inlineStr">
        <is>
          <t>Solid</t>
        </is>
      </c>
      <c r="F18" s="13" t="n">
        <v>70</v>
      </c>
      <c r="G18" s="13" t="n">
        <v>50</v>
      </c>
      <c r="H18" s="14">
        <f>F18-G18</f>
        <v/>
      </c>
      <c r="I18" s="15">
        <f>IFERROR((F18-G18)/F18,0)</f>
        <v/>
      </c>
      <c r="J18" s="11" t="inlineStr"/>
    </row>
    <row r="19">
      <c r="A19" s="12" t="n">
        <v>18</v>
      </c>
      <c r="B19" s="12" t="inlineStr">
        <is>
          <t>Furnishings</t>
        </is>
      </c>
      <c r="C19" s="12" t="inlineStr">
        <is>
          <t>T2</t>
        </is>
      </c>
      <c r="D19" s="12" t="inlineStr">
        <is>
          <t>Finished</t>
        </is>
      </c>
      <c r="E19" s="12" t="inlineStr">
        <is>
          <t>Solid</t>
        </is>
      </c>
      <c r="F19" s="16" t="n">
        <v>110</v>
      </c>
      <c r="G19" s="16" t="n">
        <v>80</v>
      </c>
      <c r="H19" s="17">
        <f>F19-G19</f>
        <v/>
      </c>
      <c r="I19" s="18">
        <f>IFERROR((F19-G19)/F19,0)</f>
        <v/>
      </c>
      <c r="J19" s="12" t="inlineStr"/>
    </row>
    <row r="20">
      <c r="A20" s="11" t="n">
        <v>19</v>
      </c>
      <c r="B20" s="11" t="inlineStr">
        <is>
          <t>Spirits</t>
        </is>
      </c>
      <c r="C20" s="11" t="inlineStr">
        <is>
          <t>T2</t>
        </is>
      </c>
      <c r="D20" s="11" t="inlineStr">
        <is>
          <t>Finished</t>
        </is>
      </c>
      <c r="E20" s="11" t="inlineStr">
        <is>
          <t>Fluid/Gas</t>
        </is>
      </c>
      <c r="F20" s="13" t="n">
        <v>95</v>
      </c>
      <c r="G20" s="13" t="n">
        <v>70</v>
      </c>
      <c r="H20" s="14">
        <f>F20-G20</f>
        <v/>
      </c>
      <c r="I20" s="15">
        <f>IFERROR((F20-G20)/F20,0)</f>
        <v/>
      </c>
      <c r="J20" s="11" t="inlineStr"/>
    </row>
    <row r="21">
      <c r="A21" s="12" t="n">
        <v>20</v>
      </c>
      <c r="B21" s="12" t="inlineStr">
        <is>
          <t>Hydroponic Yield</t>
        </is>
      </c>
      <c r="C21" s="12" t="inlineStr">
        <is>
          <t>T2</t>
        </is>
      </c>
      <c r="D21" s="12" t="inlineStr">
        <is>
          <t>Intermediate</t>
        </is>
      </c>
      <c r="E21" s="12" t="inlineStr">
        <is>
          <t>Solid</t>
        </is>
      </c>
      <c r="F21" s="16" t="n"/>
      <c r="G21" s="16" t="n">
        <v>12</v>
      </c>
      <c r="H21" s="12" t="inlineStr">
        <is>
          <t>—</t>
        </is>
      </c>
      <c r="I21" s="12" t="inlineStr">
        <is>
          <t>—</t>
        </is>
      </c>
      <c r="J21" s="12" t="inlineStr">
        <is>
          <t>No Earth buy</t>
        </is>
      </c>
    </row>
    <row r="22">
      <c r="A22" s="11" t="n">
        <v>21</v>
      </c>
      <c r="B22" s="11" t="inlineStr">
        <is>
          <t>Rare Trace Elements</t>
        </is>
      </c>
      <c r="C22" s="11" t="inlineStr">
        <is>
          <t>T3</t>
        </is>
      </c>
      <c r="D22" s="11" t="inlineStr">
        <is>
          <t>Raw</t>
        </is>
      </c>
      <c r="E22" s="11" t="inlineStr">
        <is>
          <t>Solid</t>
        </is>
      </c>
      <c r="F22" s="13" t="n">
        <v>30</v>
      </c>
      <c r="G22" s="13" t="n">
        <v>18</v>
      </c>
      <c r="H22" s="14">
        <f>F22-G22</f>
        <v/>
      </c>
      <c r="I22" s="15">
        <f>IFERROR((F22-G22)/F22,0)</f>
        <v/>
      </c>
      <c r="J22" s="11" t="inlineStr">
        <is>
          <t>Rare-trace NEAs only (~15–20%)</t>
        </is>
      </c>
    </row>
    <row r="23">
      <c r="A23" s="12" t="n">
        <v>22</v>
      </c>
      <c r="B23" s="12" t="inlineStr">
        <is>
          <t>Ammonia</t>
        </is>
      </c>
      <c r="C23" s="12" t="inlineStr">
        <is>
          <t>T3</t>
        </is>
      </c>
      <c r="D23" s="12" t="inlineStr">
        <is>
          <t>Raw</t>
        </is>
      </c>
      <c r="E23" s="12" t="inlineStr">
        <is>
          <t>Fluid/Gas</t>
        </is>
      </c>
      <c r="F23" s="16" t="n">
        <v>12</v>
      </c>
      <c r="G23" s="16" t="n">
        <v>7</v>
      </c>
      <c r="H23" s="17">
        <f>F23-G23</f>
        <v/>
      </c>
      <c r="I23" s="18">
        <f>IFERROR((F23-G23)/F23,0)</f>
        <v/>
      </c>
      <c r="J23" s="12" t="inlineStr">
        <is>
          <t>Earth buy only until T6</t>
        </is>
      </c>
    </row>
    <row r="24">
      <c r="A24" s="11" t="n">
        <v>23</v>
      </c>
      <c r="B24" s="11" t="inlineStr">
        <is>
          <t>Logic Boards</t>
        </is>
      </c>
      <c r="C24" s="11" t="inlineStr">
        <is>
          <t>T3</t>
        </is>
      </c>
      <c r="D24" s="11" t="inlineStr">
        <is>
          <t>Intermediate</t>
        </is>
      </c>
      <c r="E24" s="11" t="inlineStr">
        <is>
          <t>Solid</t>
        </is>
      </c>
      <c r="F24" s="13" t="n">
        <v>80</v>
      </c>
      <c r="G24" s="13" t="n">
        <v>55</v>
      </c>
      <c r="H24" s="14">
        <f>F24-G24</f>
        <v/>
      </c>
      <c r="I24" s="15">
        <f>IFERROR((F24-G24)/F24,0)</f>
        <v/>
      </c>
      <c r="J24" s="11" t="inlineStr"/>
    </row>
    <row r="25">
      <c r="A25" s="12" t="n">
        <v>24</v>
      </c>
      <c r="B25" s="12" t="inlineStr">
        <is>
          <t>Refined Hydrogen</t>
        </is>
      </c>
      <c r="C25" s="12" t="inlineStr">
        <is>
          <t>T3</t>
        </is>
      </c>
      <c r="D25" s="12" t="inlineStr">
        <is>
          <t>Intermediate</t>
        </is>
      </c>
      <c r="E25" s="12" t="inlineStr">
        <is>
          <t>Fluid/Gas</t>
        </is>
      </c>
      <c r="F25" s="16" t="n">
        <v>25</v>
      </c>
      <c r="G25" s="16" t="n">
        <v>16</v>
      </c>
      <c r="H25" s="17">
        <f>F25-G25</f>
        <v/>
      </c>
      <c r="I25" s="18">
        <f>IFERROR((F25-G25)/F25,0)</f>
        <v/>
      </c>
      <c r="J25" s="12" t="inlineStr">
        <is>
          <t>T3+ advanced-hull fuel grade</t>
        </is>
      </c>
    </row>
    <row r="26">
      <c r="A26" s="11" t="n">
        <v>25</v>
      </c>
      <c r="B26" s="11" t="inlineStr">
        <is>
          <t>Comms Module</t>
        </is>
      </c>
      <c r="C26" s="11" t="inlineStr">
        <is>
          <t>T3</t>
        </is>
      </c>
      <c r="D26" s="11" t="inlineStr">
        <is>
          <t>Finished</t>
        </is>
      </c>
      <c r="E26" s="11" t="inlineStr">
        <is>
          <t>Solid</t>
        </is>
      </c>
      <c r="F26" s="13" t="n">
        <v>250</v>
      </c>
      <c r="G26" s="13" t="n">
        <v>180</v>
      </c>
      <c r="H26" s="14">
        <f>F26-G26</f>
        <v/>
      </c>
      <c r="I26" s="15">
        <f>IFERROR((F26-G26)/F26,0)</f>
        <v/>
      </c>
      <c r="J26" s="11" t="inlineStr"/>
    </row>
    <row r="27">
      <c r="A27" s="12" t="n">
        <v>26</v>
      </c>
      <c r="B27" s="12" t="inlineStr">
        <is>
          <t>Sensor Array</t>
        </is>
      </c>
      <c r="C27" s="12" t="inlineStr">
        <is>
          <t>T3</t>
        </is>
      </c>
      <c r="D27" s="12" t="inlineStr">
        <is>
          <t>Finished</t>
        </is>
      </c>
      <c r="E27" s="12" t="inlineStr">
        <is>
          <t>Solid</t>
        </is>
      </c>
      <c r="F27" s="16" t="n">
        <v>220</v>
      </c>
      <c r="G27" s="16" t="n">
        <v>160</v>
      </c>
      <c r="H27" s="17">
        <f>F27-G27</f>
        <v/>
      </c>
      <c r="I27" s="18">
        <f>IFERROR((F27-G27)/F27,0)</f>
        <v/>
      </c>
      <c r="J27" s="12" t="inlineStr"/>
    </row>
    <row r="28">
      <c r="A28" s="11" t="n">
        <v>27</v>
      </c>
      <c r="B28" s="11" t="inlineStr">
        <is>
          <t>Maintenance Kit</t>
        </is>
      </c>
      <c r="C28" s="11" t="inlineStr">
        <is>
          <t>T3</t>
        </is>
      </c>
      <c r="D28" s="11" t="inlineStr">
        <is>
          <t>Finished</t>
        </is>
      </c>
      <c r="E28" s="11" t="inlineStr">
        <is>
          <t>Solid</t>
        </is>
      </c>
      <c r="F28" s="13" t="n">
        <v>180</v>
      </c>
      <c r="G28" s="13" t="n">
        <v>130</v>
      </c>
      <c r="H28" s="14">
        <f>F28-G28</f>
        <v/>
      </c>
      <c r="I28" s="15">
        <f>IFERROR((F28-G28)/F28,0)</f>
        <v/>
      </c>
      <c r="J28" s="11" t="inlineStr"/>
    </row>
    <row r="30">
      <c r="A30" s="2" t="inlineStr">
        <is>
          <t>Margin = Earth Buy − Earth Sell (the spread Earth captures). Margin % = margin / Buy.</t>
        </is>
      </c>
    </row>
    <row r="31">
      <c r="A31" s="2" t="inlineStr">
        <is>
          <t>* Oxygen: T0 byproduct only at low margin; load-bearing for life support from T1 onward.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9" customWidth="1" min="3" max="3"/>
    <col width="38" customWidth="1" min="4" max="4"/>
    <col width="30" customWidth="1" min="5" max="5"/>
    <col width="9" customWidth="1" min="6" max="6"/>
    <col width="22" customWidth="1" min="7" max="7"/>
    <col width="9" customWidth="1" min="8" max="8"/>
    <col width="14" customWidth="1" min="9" max="9"/>
    <col width="12" customWidth="1" min="10" max="10"/>
    <col width="14" customWidth="1" min="11" max="11"/>
    <col width="30" customWidth="1" min="12" max="12"/>
  </cols>
  <sheetData>
    <row r="1" ht="28" customHeight="1">
      <c r="A1" s="10" t="inlineStr">
        <is>
          <t>Tier</t>
        </is>
      </c>
      <c r="B1" s="10" t="inlineStr">
        <is>
          <t>Building</t>
        </is>
      </c>
      <c r="C1" s="10" t="inlineStr">
        <is>
          <t>Cycle (s)</t>
        </is>
      </c>
      <c r="D1" s="10" t="inlineStr">
        <is>
          <t>Inputs</t>
        </is>
      </c>
      <c r="E1" s="10" t="inlineStr">
        <is>
          <t>Outputs</t>
        </is>
      </c>
      <c r="F1" s="10" t="inlineStr">
        <is>
          <t>Output Qty</t>
        </is>
      </c>
      <c r="G1" s="10" t="inlineStr">
        <is>
          <t>Output Resource</t>
        </is>
      </c>
      <c r="H1" s="10" t="inlineStr">
        <is>
          <t>Cycles/min</t>
        </is>
      </c>
      <c r="I1" s="10" t="inlineStr">
        <is>
          <t>Output rate/min</t>
        </is>
      </c>
      <c r="J1" s="10" t="inlineStr">
        <is>
          <t>Output sell price (Earth)</t>
        </is>
      </c>
      <c r="K1" s="10" t="inlineStr">
        <is>
          <t>Output value/min ($)</t>
        </is>
      </c>
      <c r="L1" s="10" t="inlineStr">
        <is>
          <t>Notes</t>
        </is>
      </c>
    </row>
    <row r="2">
      <c r="A2" s="12" t="inlineStr">
        <is>
          <t>T0</t>
        </is>
      </c>
      <c r="B2" s="12" t="inlineStr">
        <is>
          <t>Small Mine</t>
        </is>
      </c>
      <c r="C2" s="16" t="n">
        <v>30</v>
      </c>
      <c r="D2" s="12" t="inlineStr">
        <is>
          <t>—</t>
        </is>
      </c>
      <c r="E2" s="12" t="inlineStr">
        <is>
          <t>10 Iron Ore</t>
        </is>
      </c>
      <c r="F2" s="16" t="n">
        <v>10</v>
      </c>
      <c r="G2" s="12" t="inlineStr">
        <is>
          <t>Iron Ore</t>
        </is>
      </c>
      <c r="H2" s="19">
        <f>60/C2</f>
        <v/>
      </c>
      <c r="I2" s="19">
        <f>F2*60/C2</f>
        <v/>
      </c>
      <c r="J2" s="20">
        <f>Resources!G2</f>
        <v/>
      </c>
      <c r="K2" s="21">
        <f>I2*J2</f>
        <v/>
      </c>
      <c r="L2" s="12" t="inlineStr"/>
    </row>
    <row r="3">
      <c r="A3" s="12" t="inlineStr">
        <is>
          <t>T0</t>
        </is>
      </c>
      <c r="B3" s="12" t="inlineStr">
        <is>
          <t>Ice Mine</t>
        </is>
      </c>
      <c r="C3" s="16" t="n">
        <v>40</v>
      </c>
      <c r="D3" s="12" t="inlineStr">
        <is>
          <t>—</t>
        </is>
      </c>
      <c r="E3" s="12" t="inlineStr">
        <is>
          <t>8 Water Ice</t>
        </is>
      </c>
      <c r="F3" s="16" t="n">
        <v>8</v>
      </c>
      <c r="G3" s="12" t="inlineStr">
        <is>
          <t>Water Ice</t>
        </is>
      </c>
      <c r="H3" s="19">
        <f>60/C3</f>
        <v/>
      </c>
      <c r="I3" s="19">
        <f>F3*60/C3</f>
        <v/>
      </c>
      <c r="J3" s="20">
        <f>Resources!G3</f>
        <v/>
      </c>
      <c r="K3" s="21">
        <f>I3*J3</f>
        <v/>
      </c>
      <c r="L3" s="12" t="inlineStr"/>
    </row>
    <row r="4">
      <c r="A4" s="12" t="inlineStr">
        <is>
          <t>T0</t>
        </is>
      </c>
      <c r="B4" s="12" t="inlineStr">
        <is>
          <t>Smelter</t>
        </is>
      </c>
      <c r="C4" s="16" t="n">
        <v>45</v>
      </c>
      <c r="D4" s="12" t="inlineStr">
        <is>
          <t>5 Iron Ore</t>
        </is>
      </c>
      <c r="E4" s="12" t="inlineStr">
        <is>
          <t>2 Refined Metal</t>
        </is>
      </c>
      <c r="F4" s="16" t="n">
        <v>2</v>
      </c>
      <c r="G4" s="12" t="inlineStr">
        <is>
          <t>Refined Metal</t>
        </is>
      </c>
      <c r="H4" s="19">
        <f>60/C4</f>
        <v/>
      </c>
      <c r="I4" s="19">
        <f>F4*60/C4</f>
        <v/>
      </c>
      <c r="J4" s="20">
        <f>Resources!G4</f>
        <v/>
      </c>
      <c r="K4" s="21">
        <f>I4*J4</f>
        <v/>
      </c>
      <c r="L4" s="12" t="inlineStr">
        <is>
          <t>Signature pair: +30% near Mine</t>
        </is>
      </c>
    </row>
    <row r="5">
      <c r="A5" s="12" t="inlineStr">
        <is>
          <t>T0</t>
        </is>
      </c>
      <c r="B5" s="12" t="inlineStr">
        <is>
          <t>Electrolyzer</t>
        </is>
      </c>
      <c r="C5" s="16" t="n">
        <v>60</v>
      </c>
      <c r="D5" s="12" t="inlineStr">
        <is>
          <t>4 Water Ice</t>
        </is>
      </c>
      <c r="E5" s="12" t="inlineStr">
        <is>
          <t>3 Hydrogen Fuel + 1 Oxygen</t>
        </is>
      </c>
      <c r="F5" s="16" t="n">
        <v>3</v>
      </c>
      <c r="G5" s="12" t="inlineStr">
        <is>
          <t>Hydrogen Fuel</t>
        </is>
      </c>
      <c r="H5" s="19">
        <f>60/C5</f>
        <v/>
      </c>
      <c r="I5" s="19">
        <f>F5*60/C5</f>
        <v/>
      </c>
      <c r="J5" s="20">
        <f>Resources!G5</f>
        <v/>
      </c>
      <c r="K5" s="21">
        <f>I5*J5</f>
        <v/>
      </c>
      <c r="L5" s="12" t="inlineStr">
        <is>
          <t>Output also produces 1 Oxygen</t>
        </is>
      </c>
    </row>
    <row r="6">
      <c r="A6" s="12" t="inlineStr">
        <is>
          <t>T0</t>
        </is>
      </c>
      <c r="B6" s="12" t="inlineStr">
        <is>
          <t>Probe Bay</t>
        </is>
      </c>
      <c r="C6" s="12" t="n"/>
      <c r="D6" s="12" t="inlineStr">
        <is>
          <t>—</t>
        </is>
      </c>
      <c r="E6" s="12" t="inlineStr">
        <is>
          <t>passive surveying</t>
        </is>
      </c>
      <c r="F6" s="12" t="n"/>
      <c r="G6" s="12" t="inlineStr"/>
      <c r="H6" s="12" t="inlineStr">
        <is>
          <t>—</t>
        </is>
      </c>
      <c r="I6" s="12" t="inlineStr">
        <is>
          <t>—</t>
        </is>
      </c>
      <c r="J6" s="12" t="inlineStr">
        <is>
          <t>—</t>
        </is>
      </c>
      <c r="K6" s="12" t="inlineStr">
        <is>
          <t>—</t>
        </is>
      </c>
      <c r="L6" s="12" t="inlineStr">
        <is>
          <t>Not a recipe; survey time = 4 min</t>
        </is>
      </c>
    </row>
    <row r="7">
      <c r="A7" s="12" t="inlineStr">
        <is>
          <t>T0</t>
        </is>
      </c>
      <c r="B7" s="12" t="inlineStr">
        <is>
          <t>Silo</t>
        </is>
      </c>
      <c r="C7" s="12" t="n"/>
      <c r="D7" s="12" t="inlineStr">
        <is>
          <t>—</t>
        </is>
      </c>
      <c r="E7" s="12" t="inlineStr">
        <is>
          <t>+300 solids capacity</t>
        </is>
      </c>
      <c r="F7" s="12" t="n"/>
      <c r="G7" s="12" t="inlineStr"/>
      <c r="H7" s="12" t="inlineStr">
        <is>
          <t>—</t>
        </is>
      </c>
      <c r="I7" s="12" t="inlineStr">
        <is>
          <t>—</t>
        </is>
      </c>
      <c r="J7" s="12" t="inlineStr">
        <is>
          <t>—</t>
        </is>
      </c>
      <c r="K7" s="12" t="inlineStr">
        <is>
          <t>—</t>
        </is>
      </c>
      <c r="L7" s="12" t="inlineStr">
        <is>
          <t>Storage, neutral</t>
        </is>
      </c>
    </row>
    <row r="8">
      <c r="A8" s="12" t="inlineStr">
        <is>
          <t>T0</t>
        </is>
      </c>
      <c r="B8" s="12" t="inlineStr">
        <is>
          <t>Tank</t>
        </is>
      </c>
      <c r="C8" s="12" t="n"/>
      <c r="D8" s="12" t="inlineStr">
        <is>
          <t>—</t>
        </is>
      </c>
      <c r="E8" s="12" t="inlineStr">
        <is>
          <t>+180 fluids/gases capacity</t>
        </is>
      </c>
      <c r="F8" s="12" t="n"/>
      <c r="G8" s="12" t="inlineStr"/>
      <c r="H8" s="12" t="inlineStr">
        <is>
          <t>—</t>
        </is>
      </c>
      <c r="I8" s="12" t="inlineStr">
        <is>
          <t>—</t>
        </is>
      </c>
      <c r="J8" s="12" t="inlineStr">
        <is>
          <t>—</t>
        </is>
      </c>
      <c r="K8" s="12" t="inlineStr">
        <is>
          <t>—</t>
        </is>
      </c>
      <c r="L8" s="12" t="inlineStr">
        <is>
          <t>Storage, neutral</t>
        </is>
      </c>
    </row>
    <row r="9">
      <c r="A9" s="12" t="inlineStr">
        <is>
          <t>T1</t>
        </is>
      </c>
      <c r="B9" s="12" t="inlineStr">
        <is>
          <t>Lunar Surface Mine</t>
        </is>
      </c>
      <c r="C9" s="16" t="n">
        <v>50</v>
      </c>
      <c r="D9" s="12" t="inlineStr">
        <is>
          <t>—</t>
        </is>
      </c>
      <c r="E9" s="12" t="inlineStr">
        <is>
          <t>6 Lunar Regolith</t>
        </is>
      </c>
      <c r="F9" s="16" t="n">
        <v>6</v>
      </c>
      <c r="G9" s="12" t="inlineStr">
        <is>
          <t>Lunar Regolith</t>
        </is>
      </c>
      <c r="H9" s="19">
        <f>60/C9</f>
        <v/>
      </c>
      <c r="I9" s="19">
        <f>F9*60/C9</f>
        <v/>
      </c>
      <c r="J9" s="20">
        <f>Resources!G7</f>
        <v/>
      </c>
      <c r="K9" s="21">
        <f>I9*J9</f>
        <v/>
      </c>
      <c r="L9" s="12" t="inlineStr"/>
    </row>
    <row r="10">
      <c r="A10" s="12" t="inlineStr">
        <is>
          <t>T1</t>
        </is>
      </c>
      <c r="B10" s="12" t="inlineStr">
        <is>
          <t>Refinery (Aluminum)</t>
        </is>
      </c>
      <c r="C10" s="16" t="n">
        <v>70</v>
      </c>
      <c r="D10" s="12" t="inlineStr">
        <is>
          <t>3 Lunar Regolith</t>
        </is>
      </c>
      <c r="E10" s="12" t="inlineStr">
        <is>
          <t>2 Aluminum</t>
        </is>
      </c>
      <c r="F10" s="16" t="n">
        <v>2</v>
      </c>
      <c r="G10" s="12" t="inlineStr">
        <is>
          <t>Aluminum</t>
        </is>
      </c>
      <c r="H10" s="19">
        <f>60/C10</f>
        <v/>
      </c>
      <c r="I10" s="19">
        <f>F10*60/C10</f>
        <v/>
      </c>
      <c r="J10" s="20">
        <f>Resources!G8</f>
        <v/>
      </c>
      <c r="K10" s="21">
        <f>I10*J10</f>
        <v/>
      </c>
      <c r="L10" s="12" t="inlineStr">
        <is>
          <t>Signature: +30% near Lunar Surface Mine</t>
        </is>
      </c>
    </row>
    <row r="11">
      <c r="A11" s="12" t="inlineStr">
        <is>
          <t>T1</t>
        </is>
      </c>
      <c r="B11" s="12" t="inlineStr">
        <is>
          <t>Construction Yard</t>
        </is>
      </c>
      <c r="C11" s="16" t="n">
        <v>90</v>
      </c>
      <c r="D11" s="12" t="inlineStr">
        <is>
          <t>2 Refined Metal + 2 Aluminum</t>
        </is>
      </c>
      <c r="E11" s="12" t="inlineStr">
        <is>
          <t>1 Construction Materials</t>
        </is>
      </c>
      <c r="F11" s="16" t="n">
        <v>1</v>
      </c>
      <c r="G11" s="12" t="inlineStr">
        <is>
          <t>Construction Materials</t>
        </is>
      </c>
      <c r="H11" s="19">
        <f>60/C11</f>
        <v/>
      </c>
      <c r="I11" s="19">
        <f>F11*60/C11</f>
        <v/>
      </c>
      <c r="J11" s="20">
        <f>Resources!G9</f>
        <v/>
      </c>
      <c r="K11" s="21">
        <f>I11*J11</f>
        <v/>
      </c>
      <c r="L11" s="12" t="inlineStr"/>
    </row>
    <row r="12">
      <c r="A12" s="12" t="inlineStr">
        <is>
          <t>T1</t>
        </is>
      </c>
      <c r="B12" s="12" t="inlineStr">
        <is>
          <t>Habitat Assembler</t>
        </is>
      </c>
      <c r="C12" s="16" t="n">
        <v>480</v>
      </c>
      <c r="D12" s="12" t="inlineStr">
        <is>
          <t>6 Construction Materials</t>
        </is>
      </c>
      <c r="E12" s="12" t="inlineStr">
        <is>
          <t>1 Habitat Module</t>
        </is>
      </c>
      <c r="F12" s="16" t="n">
        <v>1</v>
      </c>
      <c r="G12" s="12" t="inlineStr">
        <is>
          <t>Habitat Module</t>
        </is>
      </c>
      <c r="H12" s="19">
        <f>60/C12</f>
        <v/>
      </c>
      <c r="I12" s="19">
        <f>F12*60/C12</f>
        <v/>
      </c>
      <c r="J12" s="20">
        <f>Resources!G11</f>
        <v/>
      </c>
      <c r="K12" s="21">
        <f>I12*J12</f>
        <v/>
      </c>
      <c r="L12" s="12" t="inlineStr">
        <is>
          <t>8 min/cycle — slow on purpose</t>
        </is>
      </c>
    </row>
    <row r="13">
      <c r="A13" s="12" t="inlineStr">
        <is>
          <t>T1</t>
        </is>
      </c>
      <c r="B13" s="12" t="inlineStr">
        <is>
          <t>Greenhouse (small)</t>
        </is>
      </c>
      <c r="C13" s="16" t="n">
        <v>60</v>
      </c>
      <c r="D13" s="12" t="inlineStr">
        <is>
          <t>2 Water Ice</t>
        </is>
      </c>
      <c r="E13" s="12" t="inlineStr">
        <is>
          <t>2 Food Pack</t>
        </is>
      </c>
      <c r="F13" s="16" t="n">
        <v>2</v>
      </c>
      <c r="G13" s="12" t="inlineStr">
        <is>
          <t>Food Pack</t>
        </is>
      </c>
      <c r="H13" s="19">
        <f>60/C13</f>
        <v/>
      </c>
      <c r="I13" s="19">
        <f>F13*60/C13</f>
        <v/>
      </c>
      <c r="J13" s="20">
        <f>Resources!G10</f>
        <v/>
      </c>
      <c r="K13" s="21">
        <f>I13*J13</f>
        <v/>
      </c>
      <c r="L13" s="12" t="inlineStr"/>
    </row>
    <row r="14">
      <c r="A14" s="12" t="inlineStr">
        <is>
          <t>T1</t>
        </is>
      </c>
      <c r="B14" s="12" t="inlineStr">
        <is>
          <t>Life Support — Water</t>
        </is>
      </c>
      <c r="C14" s="12" t="n"/>
      <c r="D14" s="12" t="inlineStr">
        <is>
          <t>1 Water Ice / pop / 8 min</t>
        </is>
      </c>
      <c r="E14" s="12" t="inlineStr">
        <is>
          <t>—</t>
        </is>
      </c>
      <c r="F14" s="12" t="n"/>
      <c r="G14" s="12" t="inlineStr"/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Continuous draw</t>
        </is>
      </c>
    </row>
    <row r="15">
      <c r="A15" s="12" t="inlineStr">
        <is>
          <t>T1</t>
        </is>
      </c>
      <c r="B15" s="12" t="inlineStr">
        <is>
          <t>Life Support — Oxygen</t>
        </is>
      </c>
      <c r="C15" s="12" t="n"/>
      <c r="D15" s="12" t="inlineStr">
        <is>
          <t>1 Oxygen / pop / 6 min</t>
        </is>
      </c>
      <c r="E15" s="12" t="inlineStr">
        <is>
          <t>—</t>
        </is>
      </c>
      <c r="F15" s="12" t="n"/>
      <c r="G15" s="12" t="inlineStr"/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inlineStr">
        <is>
          <t>—</t>
        </is>
      </c>
      <c r="L15" s="12" t="inlineStr">
        <is>
          <t>Continuous draw</t>
        </is>
      </c>
    </row>
    <row r="16">
      <c r="A16" s="12" t="inlineStr">
        <is>
          <t>T1</t>
        </is>
      </c>
      <c r="B16" s="12" t="inlineStr">
        <is>
          <t>Life Support — Food</t>
        </is>
      </c>
      <c r="C16" s="12" t="n"/>
      <c r="D16" s="12" t="inlineStr">
        <is>
          <t>1 Food Pack / pop / 12 min</t>
        </is>
      </c>
      <c r="E16" s="12" t="inlineStr">
        <is>
          <t>—</t>
        </is>
      </c>
      <c r="F16" s="12" t="n"/>
      <c r="G16" s="12" t="inlineStr"/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Continuous draw</t>
        </is>
      </c>
    </row>
    <row r="17">
      <c r="A17" s="12" t="inlineStr">
        <is>
          <t>T2</t>
        </is>
      </c>
      <c r="B17" s="12" t="inlineStr">
        <is>
          <t>NEA Mine (Nickel)</t>
        </is>
      </c>
      <c r="C17" s="16" t="n">
        <v>45</v>
      </c>
      <c r="D17" s="12" t="inlineStr">
        <is>
          <t>—</t>
        </is>
      </c>
      <c r="E17" s="12" t="inlineStr">
        <is>
          <t>6 Nickel Ore</t>
        </is>
      </c>
      <c r="F17" s="16" t="n">
        <v>6</v>
      </c>
      <c r="G17" s="12" t="inlineStr">
        <is>
          <t>Nickel Ore</t>
        </is>
      </c>
      <c r="H17" s="19">
        <f>60/C17</f>
        <v/>
      </c>
      <c r="I17" s="19">
        <f>F17*60/C17</f>
        <v/>
      </c>
      <c r="J17" s="20">
        <f>Resources!G12</f>
        <v/>
      </c>
      <c r="K17" s="21">
        <f>I17*J17</f>
        <v/>
      </c>
      <c r="L17" s="12" t="inlineStr"/>
    </row>
    <row r="18">
      <c r="A18" s="12" t="inlineStr">
        <is>
          <t>T2</t>
        </is>
      </c>
      <c r="B18" s="12" t="inlineStr">
        <is>
          <t>NEA Mine (Carbon)</t>
        </is>
      </c>
      <c r="C18" s="16" t="n">
        <v>45</v>
      </c>
      <c r="D18" s="12" t="inlineStr">
        <is>
          <t>—</t>
        </is>
      </c>
      <c r="E18" s="12" t="inlineStr">
        <is>
          <t>6 Carbonaceous Ore</t>
        </is>
      </c>
      <c r="F18" s="16" t="n">
        <v>6</v>
      </c>
      <c r="G18" s="12" t="inlineStr">
        <is>
          <t>Carbonaceous Ore</t>
        </is>
      </c>
      <c r="H18" s="19">
        <f>60/C18</f>
        <v/>
      </c>
      <c r="I18" s="19">
        <f>F18*60/C18</f>
        <v/>
      </c>
      <c r="J18" s="20">
        <f>Resources!G13</f>
        <v/>
      </c>
      <c r="K18" s="21">
        <f>I18*J18</f>
        <v/>
      </c>
      <c r="L18" s="12" t="inlineStr"/>
    </row>
    <row r="19">
      <c r="A19" s="12" t="inlineStr">
        <is>
          <t>T2</t>
        </is>
      </c>
      <c r="B19" s="12" t="inlineStr">
        <is>
          <t>NEA Mine (Silicates)</t>
        </is>
      </c>
      <c r="C19" s="16" t="n">
        <v>50</v>
      </c>
      <c r="D19" s="12" t="inlineStr">
        <is>
          <t>—</t>
        </is>
      </c>
      <c r="E19" s="12" t="inlineStr">
        <is>
          <t>7 Silicates</t>
        </is>
      </c>
      <c r="F19" s="16" t="n">
        <v>7</v>
      </c>
      <c r="G19" s="12" t="inlineStr">
        <is>
          <t>Silicates</t>
        </is>
      </c>
      <c r="H19" s="19">
        <f>60/C19</f>
        <v/>
      </c>
      <c r="I19" s="19">
        <f>F19*60/C19</f>
        <v/>
      </c>
      <c r="J19" s="20">
        <f>Resources!G14</f>
        <v/>
      </c>
      <c r="K19" s="21">
        <f>I19*J19</f>
        <v/>
      </c>
      <c r="L19" s="12" t="inlineStr"/>
    </row>
    <row r="20">
      <c r="A20" s="12" t="inlineStr">
        <is>
          <t>T2</t>
        </is>
      </c>
      <c r="B20" s="12" t="inlineStr">
        <is>
          <t>Hydroponics Bay</t>
        </is>
      </c>
      <c r="C20" s="16" t="n">
        <v>60</v>
      </c>
      <c r="D20" s="12" t="inlineStr">
        <is>
          <t>2 Water Ice</t>
        </is>
      </c>
      <c r="E20" s="12" t="inlineStr">
        <is>
          <t>2 Hydroponic Yield</t>
        </is>
      </c>
      <c r="F20" s="16" t="n">
        <v>2</v>
      </c>
      <c r="G20" s="12" t="inlineStr">
        <is>
          <t>Hydroponic Yield</t>
        </is>
      </c>
      <c r="H20" s="19">
        <f>60/C20</f>
        <v/>
      </c>
      <c r="I20" s="19">
        <f>F20*60/C20</f>
        <v/>
      </c>
      <c r="J20" s="20">
        <f>Resources!G21</f>
        <v/>
      </c>
      <c r="K20" s="21">
        <f>I20*J20</f>
        <v/>
      </c>
      <c r="L20" s="12" t="inlineStr"/>
    </row>
    <row r="21">
      <c r="A21" s="12" t="inlineStr">
        <is>
          <t>T2</t>
        </is>
      </c>
      <c r="B21" s="12" t="inlineStr">
        <is>
          <t>Hydroponic Greenhouse</t>
        </is>
      </c>
      <c r="C21" s="16" t="n">
        <v>45</v>
      </c>
      <c r="D21" s="12" t="inlineStr">
        <is>
          <t>2 Hydroponic Yield</t>
        </is>
      </c>
      <c r="E21" s="12" t="inlineStr">
        <is>
          <t>4 Food Pack</t>
        </is>
      </c>
      <c r="F21" s="16" t="n">
        <v>4</v>
      </c>
      <c r="G21" s="12" t="inlineStr">
        <is>
          <t>Food Pack</t>
        </is>
      </c>
      <c r="H21" s="19">
        <f>60/C21</f>
        <v/>
      </c>
      <c r="I21" s="19">
        <f>F21*60/C21</f>
        <v/>
      </c>
      <c r="J21" s="20">
        <f>Resources!G10</f>
        <v/>
      </c>
      <c r="K21" s="21">
        <f>I21*J21</f>
        <v/>
      </c>
      <c r="L21" s="12" t="inlineStr">
        <is>
          <t>T2 upgrade replaces small greenhouse</t>
        </is>
      </c>
    </row>
    <row r="22">
      <c r="A22" s="12" t="inlineStr">
        <is>
          <t>T2</t>
        </is>
      </c>
      <c r="B22" s="12" t="inlineStr">
        <is>
          <t>Glass Furnace</t>
        </is>
      </c>
      <c r="C22" s="16" t="n">
        <v>90</v>
      </c>
      <c r="D22" s="12" t="inlineStr">
        <is>
          <t>4 Silicates + 1 Aluminum</t>
        </is>
      </c>
      <c r="E22" s="12" t="inlineStr">
        <is>
          <t>2 Habitat Glass</t>
        </is>
      </c>
      <c r="F22" s="16" t="n">
        <v>2</v>
      </c>
      <c r="G22" s="12" t="inlineStr">
        <is>
          <t>Habitat Glass</t>
        </is>
      </c>
      <c r="H22" s="19">
        <f>60/C22</f>
        <v/>
      </c>
      <c r="I22" s="19">
        <f>F22*60/C22</f>
        <v/>
      </c>
      <c r="J22" s="20">
        <f>Resources!G16</f>
        <v/>
      </c>
      <c r="K22" s="21">
        <f>I22*J22</f>
        <v/>
      </c>
      <c r="L22" s="12" t="inlineStr">
        <is>
          <t>Signature: +30% near Silicates Mine</t>
        </is>
      </c>
    </row>
    <row r="23">
      <c r="A23" s="12" t="inlineStr">
        <is>
          <t>T2</t>
        </is>
      </c>
      <c r="B23" s="12" t="inlineStr">
        <is>
          <t>Carbon Mill</t>
        </is>
      </c>
      <c r="C23" s="16" t="n">
        <v>75</v>
      </c>
      <c r="D23" s="12" t="inlineStr">
        <is>
          <t>3 Carbonaceous Ore + 1 Refined Metal</t>
        </is>
      </c>
      <c r="E23" s="12" t="inlineStr">
        <is>
          <t>2 Carbon Mesh</t>
        </is>
      </c>
      <c r="F23" s="16" t="n">
        <v>2</v>
      </c>
      <c r="G23" s="12" t="inlineStr">
        <is>
          <t>Carbon Mesh</t>
        </is>
      </c>
      <c r="H23" s="19">
        <f>60/C23</f>
        <v/>
      </c>
      <c r="I23" s="19">
        <f>F23*60/C23</f>
        <v/>
      </c>
      <c r="J23" s="20">
        <f>Resources!G17</f>
        <v/>
      </c>
      <c r="K23" s="21">
        <f>I23*J23</f>
        <v/>
      </c>
      <c r="L23" s="12" t="inlineStr">
        <is>
          <t>Signature: +30% near Carbon Mine</t>
        </is>
      </c>
    </row>
    <row r="24">
      <c r="A24" s="12" t="inlineStr">
        <is>
          <t>T2</t>
        </is>
      </c>
      <c r="B24" s="12" t="inlineStr">
        <is>
          <t>Pressure-Valve Forge</t>
        </is>
      </c>
      <c r="C24" s="16" t="n">
        <v>120</v>
      </c>
      <c r="D24" s="12" t="inlineStr">
        <is>
          <t>2 Refined Metal + 1 Nickel Ore</t>
        </is>
      </c>
      <c r="E24" s="12" t="inlineStr">
        <is>
          <t>1 Pressure Valves</t>
        </is>
      </c>
      <c r="F24" s="16" t="n">
        <v>1</v>
      </c>
      <c r="G24" s="12" t="inlineStr">
        <is>
          <t>Pressure Valves</t>
        </is>
      </c>
      <c r="H24" s="19">
        <f>60/C24</f>
        <v/>
      </c>
      <c r="I24" s="19">
        <f>F24*60/C24</f>
        <v/>
      </c>
      <c r="J24" s="20">
        <f>Resources!G15</f>
        <v/>
      </c>
      <c r="K24" s="21">
        <f>I24*J24</f>
        <v/>
      </c>
      <c r="L24" s="12" t="inlineStr"/>
    </row>
    <row r="25">
      <c r="A25" s="12" t="inlineStr">
        <is>
          <t>T2</t>
        </is>
      </c>
      <c r="B25" s="12" t="inlineStr">
        <is>
          <t>Textile Mill</t>
        </is>
      </c>
      <c r="C25" s="16" t="n">
        <v>100</v>
      </c>
      <c r="D25" s="12" t="inlineStr">
        <is>
          <t>2 Carbon Mesh + 1 Hydroponic Yield</t>
        </is>
      </c>
      <c r="E25" s="12" t="inlineStr">
        <is>
          <t>2 Textiles</t>
        </is>
      </c>
      <c r="F25" s="16" t="n">
        <v>2</v>
      </c>
      <c r="G25" s="12" t="inlineStr">
        <is>
          <t>Textiles</t>
        </is>
      </c>
      <c r="H25" s="19">
        <f>60/C25</f>
        <v/>
      </c>
      <c r="I25" s="19">
        <f>F25*60/C25</f>
        <v/>
      </c>
      <c r="J25" s="20">
        <f>Resources!G18</f>
        <v/>
      </c>
      <c r="K25" s="21">
        <f>I25*J25</f>
        <v/>
      </c>
      <c r="L25" s="12" t="inlineStr"/>
    </row>
    <row r="26">
      <c r="A26" s="12" t="inlineStr">
        <is>
          <t>T2</t>
        </is>
      </c>
      <c r="B26" s="12" t="inlineStr">
        <is>
          <t>Furnishings Workshop</t>
        </is>
      </c>
      <c r="C26" s="16" t="n">
        <v>150</v>
      </c>
      <c r="D26" s="12" t="inlineStr">
        <is>
          <t>1 Aluminum + 1 Carbon Mesh + 1 Textiles</t>
        </is>
      </c>
      <c r="E26" s="12" t="inlineStr">
        <is>
          <t>1 Furnishings</t>
        </is>
      </c>
      <c r="F26" s="16" t="n">
        <v>1</v>
      </c>
      <c r="G26" s="12" t="inlineStr">
        <is>
          <t>Furnishings</t>
        </is>
      </c>
      <c r="H26" s="19">
        <f>60/C26</f>
        <v/>
      </c>
      <c r="I26" s="19">
        <f>F26*60/C26</f>
        <v/>
      </c>
      <c r="J26" s="20">
        <f>Resources!G19</f>
        <v/>
      </c>
      <c r="K26" s="21">
        <f>I26*J26</f>
        <v/>
      </c>
      <c r="L26" s="12" t="inlineStr"/>
    </row>
    <row r="27">
      <c r="A27" s="12" t="inlineStr">
        <is>
          <t>T2</t>
        </is>
      </c>
      <c r="B27" s="12" t="inlineStr">
        <is>
          <t>Distillery</t>
        </is>
      </c>
      <c r="C27" s="16" t="n">
        <v>180</v>
      </c>
      <c r="D27" s="12" t="inlineStr">
        <is>
          <t>3 Hydroponic Yield + 1 Water Ice</t>
        </is>
      </c>
      <c r="E27" s="12" t="inlineStr">
        <is>
          <t>1 Spirits</t>
        </is>
      </c>
      <c r="F27" s="16" t="n">
        <v>1</v>
      </c>
      <c r="G27" s="12" t="inlineStr">
        <is>
          <t>Spirits</t>
        </is>
      </c>
      <c r="H27" s="19">
        <f>60/C27</f>
        <v/>
      </c>
      <c r="I27" s="19">
        <f>F27*60/C27</f>
        <v/>
      </c>
      <c r="J27" s="20">
        <f>Resources!G20</f>
        <v/>
      </c>
      <c r="K27" s="21">
        <f>I27*J27</f>
        <v/>
      </c>
      <c r="L27" s="12" t="inlineStr"/>
    </row>
    <row r="28">
      <c r="A28" s="12" t="inlineStr">
        <is>
          <t>T3</t>
        </is>
      </c>
      <c r="B28" s="12" t="inlineStr">
        <is>
          <t>Trace Mine</t>
        </is>
      </c>
      <c r="C28" s="16" t="n">
        <v>90</v>
      </c>
      <c r="D28" s="12" t="inlineStr">
        <is>
          <t>—</t>
        </is>
      </c>
      <c r="E28" s="12" t="inlineStr">
        <is>
          <t>2 Rare Trace Elements</t>
        </is>
      </c>
      <c r="F28" s="16" t="n">
        <v>2</v>
      </c>
      <c r="G28" s="12" t="inlineStr">
        <is>
          <t>Rare Trace Elements</t>
        </is>
      </c>
      <c r="H28" s="19">
        <f>60/C28</f>
        <v/>
      </c>
      <c r="I28" s="19">
        <f>F28*60/C28</f>
        <v/>
      </c>
      <c r="J28" s="20">
        <f>Resources!G22</f>
        <v/>
      </c>
      <c r="K28" s="21">
        <f>I28*J28</f>
        <v/>
      </c>
      <c r="L28" s="12" t="inlineStr">
        <is>
          <t>Rare-trace NEAs only</t>
        </is>
      </c>
    </row>
    <row r="29">
      <c r="A29" s="12" t="inlineStr">
        <is>
          <t>T3</t>
        </is>
      </c>
      <c r="B29" s="12" t="inlineStr">
        <is>
          <t>Logic Foundry</t>
        </is>
      </c>
      <c r="C29" s="16" t="n">
        <v>120</v>
      </c>
      <c r="D29" s="12" t="inlineStr">
        <is>
          <t>1 Refined Metal + 2 Rare Trace Elements + 1 Aluminum</t>
        </is>
      </c>
      <c r="E29" s="12" t="inlineStr">
        <is>
          <t>2 Logic Boards</t>
        </is>
      </c>
      <c r="F29" s="16" t="n">
        <v>2</v>
      </c>
      <c r="G29" s="12" t="inlineStr">
        <is>
          <t>Logic Boards</t>
        </is>
      </c>
      <c r="H29" s="19">
        <f>60/C29</f>
        <v/>
      </c>
      <c r="I29" s="19">
        <f>F29*60/C29</f>
        <v/>
      </c>
      <c r="J29" s="20">
        <f>Resources!G24</f>
        <v/>
      </c>
      <c r="K29" s="21">
        <f>I29*J29</f>
        <v/>
      </c>
      <c r="L29" s="12" t="inlineStr">
        <is>
          <t>Signature: +30% near Trace Mine</t>
        </is>
      </c>
    </row>
    <row r="30">
      <c r="A30" s="12" t="inlineStr">
        <is>
          <t>T3</t>
        </is>
      </c>
      <c r="B30" s="12" t="inlineStr">
        <is>
          <t>Comms Workshop</t>
        </is>
      </c>
      <c r="C30" s="16" t="n">
        <v>100</v>
      </c>
      <c r="D30" s="12" t="inlineStr">
        <is>
          <t>2 Logic Boards + 1 Aluminum</t>
        </is>
      </c>
      <c r="E30" s="12" t="inlineStr">
        <is>
          <t>1 Comms Module</t>
        </is>
      </c>
      <c r="F30" s="16" t="n">
        <v>1</v>
      </c>
      <c r="G30" s="12" t="inlineStr">
        <is>
          <t>Comms Module</t>
        </is>
      </c>
      <c r="H30" s="19">
        <f>60/C30</f>
        <v/>
      </c>
      <c r="I30" s="19">
        <f>F30*60/C30</f>
        <v/>
      </c>
      <c r="J30" s="20">
        <f>Resources!G26</f>
        <v/>
      </c>
      <c r="K30" s="21">
        <f>I30*J30</f>
        <v/>
      </c>
      <c r="L30" s="12" t="inlineStr"/>
    </row>
    <row r="31">
      <c r="A31" s="12" t="inlineStr">
        <is>
          <t>T3</t>
        </is>
      </c>
      <c r="B31" s="12" t="inlineStr">
        <is>
          <t>Sensor Lab</t>
        </is>
      </c>
      <c r="C31" s="16" t="n">
        <v>110</v>
      </c>
      <c r="D31" s="12" t="inlineStr">
        <is>
          <t>2 Logic Boards + 1 Carbon Mesh</t>
        </is>
      </c>
      <c r="E31" s="12" t="inlineStr">
        <is>
          <t>1 Sensor Array</t>
        </is>
      </c>
      <c r="F31" s="16" t="n">
        <v>1</v>
      </c>
      <c r="G31" s="12" t="inlineStr">
        <is>
          <t>Sensor Array</t>
        </is>
      </c>
      <c r="H31" s="19">
        <f>60/C31</f>
        <v/>
      </c>
      <c r="I31" s="19">
        <f>F31*60/C31</f>
        <v/>
      </c>
      <c r="J31" s="20">
        <f>Resources!G27</f>
        <v/>
      </c>
      <c r="K31" s="21">
        <f>I31*J31</f>
        <v/>
      </c>
      <c r="L31" s="12" t="inlineStr"/>
    </row>
    <row r="32">
      <c r="A32" s="12" t="inlineStr">
        <is>
          <t>T3</t>
        </is>
      </c>
      <c r="B32" s="12" t="inlineStr">
        <is>
          <t>Maintenance Shop</t>
        </is>
      </c>
      <c r="C32" s="16" t="n">
        <v>90</v>
      </c>
      <c r="D32" s="12" t="inlineStr">
        <is>
          <t>1 Pressure Valves + 1 Aluminum</t>
        </is>
      </c>
      <c r="E32" s="12" t="inlineStr">
        <is>
          <t>1 Maintenance Kit</t>
        </is>
      </c>
      <c r="F32" s="16" t="n">
        <v>1</v>
      </c>
      <c r="G32" s="12" t="inlineStr">
        <is>
          <t>Maintenance Kit</t>
        </is>
      </c>
      <c r="H32" s="19">
        <f>60/C32</f>
        <v/>
      </c>
      <c r="I32" s="19">
        <f>F32*60/C32</f>
        <v/>
      </c>
      <c r="J32" s="20">
        <f>Resources!G28</f>
        <v/>
      </c>
      <c r="K32" s="21">
        <f>I32*J32</f>
        <v/>
      </c>
      <c r="L32" s="12" t="inlineStr"/>
    </row>
    <row r="33">
      <c r="A33" s="12" t="inlineStr">
        <is>
          <t>T3</t>
        </is>
      </c>
      <c r="B33" s="12" t="inlineStr">
        <is>
          <t>Catalytic Reactor</t>
        </is>
      </c>
      <c r="C33" s="16" t="n">
        <v>120</v>
      </c>
      <c r="D33" s="12" t="inlineStr">
        <is>
          <t>2 Ammonia + 1 Hydrogen Fuel</t>
        </is>
      </c>
      <c r="E33" s="12" t="inlineStr">
        <is>
          <t>2 Refined Hydrogen</t>
        </is>
      </c>
      <c r="F33" s="16" t="n">
        <v>2</v>
      </c>
      <c r="G33" s="12" t="inlineStr">
        <is>
          <t>Refined Hydrogen</t>
        </is>
      </c>
      <c r="H33" s="19">
        <f>60/C33</f>
        <v/>
      </c>
      <c r="I33" s="19">
        <f>F33*60/C33</f>
        <v/>
      </c>
      <c r="J33" s="20">
        <f>Resources!G25</f>
        <v/>
      </c>
      <c r="K33" s="21">
        <f>I33*J33</f>
        <v/>
      </c>
      <c r="L33" s="12" t="inlineStr"/>
    </row>
    <row r="34">
      <c r="A34" s="12" t="inlineStr">
        <is>
          <t>T3</t>
        </is>
      </c>
      <c r="B34" s="12" t="inlineStr">
        <is>
          <t>Automation Hub</t>
        </is>
      </c>
      <c r="C34" s="12" t="n"/>
      <c r="D34" s="12" t="inlineStr">
        <is>
          <t>—</t>
        </is>
      </c>
      <c r="E34" s="12" t="inlineStr">
        <is>
          <t>hosts 4 automation rules</t>
        </is>
      </c>
      <c r="F34" s="12" t="n"/>
      <c r="G34" s="12" t="inlineStr"/>
      <c r="H34" s="12" t="inlineStr">
        <is>
          <t>—</t>
        </is>
      </c>
      <c r="I34" s="12" t="inlineStr">
        <is>
          <t>—</t>
        </is>
      </c>
      <c r="J34" s="12" t="inlineStr">
        <is>
          <t>—</t>
        </is>
      </c>
      <c r="K34" s="12" t="inlineStr">
        <is>
          <t>—</t>
        </is>
      </c>
      <c r="L34" s="12" t="inlineStr">
        <is>
          <t>Required for any automation at body</t>
        </is>
      </c>
    </row>
    <row r="36">
      <c r="A36" s="2" t="inlineStr">
        <is>
          <t>Cycles/min = 60 / cycle_s. Output rate/min = output_qty × 60 / cycle_s.</t>
        </is>
      </c>
    </row>
    <row r="37">
      <c r="A37" s="2" t="inlineStr">
        <is>
          <t>Output value/min uses Earth Sell price as a unit reference — the actual route economics depend on hull, leg, and fuel costs (see Fuel_Costs / Ships).</t>
        </is>
      </c>
    </row>
    <row r="38">
      <c r="A38" s="2" t="inlineStr">
        <is>
          <t>Recipes for Electrolyzer also produce 1 Oxygen byproduct per cycle — not modeled in the headline rate.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9" customWidth="1" min="4" max="4"/>
    <col width="50" customWidth="1" min="5" max="5"/>
  </cols>
  <sheetData>
    <row r="1" ht="28" customHeight="1">
      <c r="A1" s="10" t="inlineStr">
        <is>
          <t>Tier Band</t>
        </is>
      </c>
      <c r="B1" s="10" t="inlineStr">
        <is>
          <t>Placer</t>
        </is>
      </c>
      <c r="C1" s="10" t="inlineStr">
        <is>
          <t>Pairs With</t>
        </is>
      </c>
      <c r="D1" s="10" t="inlineStr">
        <is>
          <t>Bonus</t>
        </is>
      </c>
      <c r="E1" s="10" t="inlineStr">
        <is>
          <t>Notes</t>
        </is>
      </c>
    </row>
    <row r="2">
      <c r="A2" s="12" t="inlineStr">
        <is>
          <t>T0</t>
        </is>
      </c>
      <c r="B2" s="12" t="inlineStr">
        <is>
          <t>Smelter</t>
        </is>
      </c>
      <c r="C2" s="12" t="inlineStr">
        <is>
          <t>Small Mine</t>
        </is>
      </c>
      <c r="D2" s="22" t="n">
        <v>0.3</v>
      </c>
      <c r="E2" s="12" t="inlineStr">
        <is>
          <t>Signature T0 pair; FTUE compare-moment</t>
        </is>
      </c>
    </row>
    <row r="3">
      <c r="A3" s="12" t="inlineStr">
        <is>
          <t>T1</t>
        </is>
      </c>
      <c r="B3" s="12" t="inlineStr">
        <is>
          <t>Smelter</t>
        </is>
      </c>
      <c r="C3" s="12" t="inlineStr">
        <is>
          <t>Lunar Surface Mine</t>
        </is>
      </c>
      <c r="D3" s="22" t="n">
        <v>0.25</v>
      </c>
      <c r="E3" s="12" t="inlineStr">
        <is>
          <t>T1 variant</t>
        </is>
      </c>
    </row>
    <row r="4">
      <c r="A4" s="12" t="inlineStr">
        <is>
          <t>T0</t>
        </is>
      </c>
      <c r="B4" s="12" t="inlineStr">
        <is>
          <t>Electrolyzer</t>
        </is>
      </c>
      <c r="C4" s="12" t="inlineStr">
        <is>
          <t>Ice Mine</t>
        </is>
      </c>
      <c r="D4" s="22" t="n">
        <v>0.25</v>
      </c>
      <c r="E4" s="12" t="inlineStr">
        <is>
          <t>Signature T0 fluid pair</t>
        </is>
      </c>
    </row>
    <row r="5">
      <c r="A5" s="12" t="inlineStr">
        <is>
          <t>T1</t>
        </is>
      </c>
      <c r="B5" s="12" t="inlineStr">
        <is>
          <t>Refinery (Aluminum)</t>
        </is>
      </c>
      <c r="C5" s="12" t="inlineStr">
        <is>
          <t>Lunar Surface Mine</t>
        </is>
      </c>
      <c r="D5" s="22" t="n">
        <v>0.3</v>
      </c>
      <c r="E5" s="12" t="inlineStr">
        <is>
          <t>Signature T1 pair</t>
        </is>
      </c>
    </row>
    <row r="6">
      <c r="A6" s="12" t="inlineStr">
        <is>
          <t>T1</t>
        </is>
      </c>
      <c r="B6" s="12" t="inlineStr">
        <is>
          <t>Construction Yard</t>
        </is>
      </c>
      <c r="C6" s="12" t="inlineStr">
        <is>
          <t>Refinery (Aluminum)</t>
        </is>
      </c>
      <c r="D6" s="22" t="n">
        <v>0.2</v>
      </c>
      <c r="E6" s="12" t="inlineStr">
        <is>
          <t>Mid-chain feed</t>
        </is>
      </c>
    </row>
    <row r="7">
      <c r="A7" s="12" t="inlineStr">
        <is>
          <t>T1</t>
        </is>
      </c>
      <c r="B7" s="12" t="inlineStr">
        <is>
          <t>Construction Yard</t>
        </is>
      </c>
      <c r="C7" s="12" t="inlineStr">
        <is>
          <t>Smelter</t>
        </is>
      </c>
      <c r="D7" s="22" t="n">
        <v>0.2</v>
      </c>
      <c r="E7" s="12" t="inlineStr">
        <is>
          <t>Alt feed source</t>
        </is>
      </c>
    </row>
    <row r="8">
      <c r="A8" s="12" t="inlineStr">
        <is>
          <t>T1</t>
        </is>
      </c>
      <c r="B8" s="12" t="inlineStr">
        <is>
          <t>Habitat Assembler</t>
        </is>
      </c>
      <c r="C8" s="12" t="inlineStr">
        <is>
          <t>Construction Yard</t>
        </is>
      </c>
      <c r="D8" s="22" t="n">
        <v>0.25</v>
      </c>
      <c r="E8" s="12" t="inlineStr">
        <is>
          <t>Late-T1 chain capper</t>
        </is>
      </c>
    </row>
    <row r="9">
      <c r="A9" s="12" t="inlineStr">
        <is>
          <t>T1</t>
        </is>
      </c>
      <c r="B9" s="12" t="inlineStr">
        <is>
          <t>Greenhouse (small)</t>
        </is>
      </c>
      <c r="C9" s="12" t="inlineStr">
        <is>
          <t>Ice Mine</t>
        </is>
      </c>
      <c r="D9" s="22" t="n">
        <v>0.2</v>
      </c>
      <c r="E9" s="12" t="inlineStr">
        <is>
          <t>Cuts water-feed friction</t>
        </is>
      </c>
    </row>
    <row r="10">
      <c r="A10" s="12" t="inlineStr">
        <is>
          <t>T2</t>
        </is>
      </c>
      <c r="B10" s="12" t="inlineStr">
        <is>
          <t>Hydroponics Bay</t>
        </is>
      </c>
      <c r="C10" s="12" t="inlineStr">
        <is>
          <t>Ice Mine</t>
        </is>
      </c>
      <c r="D10" s="22" t="n">
        <v>0.2</v>
      </c>
      <c r="E10" s="12" t="inlineStr">
        <is>
          <t>T2 upgrade path</t>
        </is>
      </c>
    </row>
    <row r="11">
      <c r="A11" s="12" t="inlineStr">
        <is>
          <t>T2</t>
        </is>
      </c>
      <c r="B11" s="12" t="inlineStr">
        <is>
          <t>Hydroponic Greenhouse</t>
        </is>
      </c>
      <c r="C11" s="12" t="inlineStr">
        <is>
          <t>Hydroponics Bay</t>
        </is>
      </c>
      <c r="D11" s="22" t="n">
        <v>0.25</v>
      </c>
      <c r="E11" s="12" t="inlineStr">
        <is>
          <t>T2 stack</t>
        </is>
      </c>
    </row>
    <row r="12">
      <c r="A12" s="12" t="inlineStr">
        <is>
          <t>T2</t>
        </is>
      </c>
      <c r="B12" s="12" t="inlineStr">
        <is>
          <t>Glass Furnace</t>
        </is>
      </c>
      <c r="C12" s="12" t="inlineStr">
        <is>
          <t>NEA Mine (Silicates)</t>
        </is>
      </c>
      <c r="D12" s="22" t="n">
        <v>0.3</v>
      </c>
      <c r="E12" s="12" t="inlineStr">
        <is>
          <t>Signature T2 pair</t>
        </is>
      </c>
    </row>
    <row r="13">
      <c r="A13" s="12" t="inlineStr">
        <is>
          <t>T2</t>
        </is>
      </c>
      <c r="B13" s="12" t="inlineStr">
        <is>
          <t>Carbon Mill</t>
        </is>
      </c>
      <c r="C13" s="12" t="inlineStr">
        <is>
          <t>NEA Mine (Carbon)</t>
        </is>
      </c>
      <c r="D13" s="22" t="n">
        <v>0.3</v>
      </c>
      <c r="E13" s="12" t="inlineStr">
        <is>
          <t>Signature T2 pair</t>
        </is>
      </c>
    </row>
    <row r="14">
      <c r="A14" s="12" t="inlineStr">
        <is>
          <t>T2</t>
        </is>
      </c>
      <c r="B14" s="12" t="inlineStr">
        <is>
          <t>Pressure-Valve Forge</t>
        </is>
      </c>
      <c r="C14" s="12" t="inlineStr">
        <is>
          <t>Smelter</t>
        </is>
      </c>
      <c r="D14" s="22" t="n">
        <v>0.2</v>
      </c>
      <c r="E14" s="12" t="inlineStr">
        <is>
          <t>Multi-input chain helper</t>
        </is>
      </c>
    </row>
    <row r="15">
      <c r="A15" s="12" t="inlineStr">
        <is>
          <t>T2</t>
        </is>
      </c>
      <c r="B15" s="12" t="inlineStr">
        <is>
          <t>Textile Mill</t>
        </is>
      </c>
      <c r="C15" s="12" t="inlineStr">
        <is>
          <t>Hydroponic Greenhouse</t>
        </is>
      </c>
      <c r="D15" s="22" t="n">
        <v>0.2</v>
      </c>
      <c r="E15" s="12" t="inlineStr">
        <is>
          <t>Comfort-tier feed</t>
        </is>
      </c>
    </row>
    <row r="16">
      <c r="A16" s="12" t="inlineStr">
        <is>
          <t>T2</t>
        </is>
      </c>
      <c r="B16" s="12" t="inlineStr">
        <is>
          <t>Furnishings Workshop</t>
        </is>
      </c>
      <c r="C16" s="12" t="inlineStr">
        <is>
          <t>Carbon Mill</t>
        </is>
      </c>
      <c r="D16" s="22" t="n">
        <v>0.2</v>
      </c>
      <c r="E16" s="12" t="inlineStr">
        <is>
          <t>Multi-feed chain capper</t>
        </is>
      </c>
    </row>
    <row r="17">
      <c r="A17" s="12" t="inlineStr">
        <is>
          <t>T2</t>
        </is>
      </c>
      <c r="B17" s="12" t="inlineStr">
        <is>
          <t>Distillery</t>
        </is>
      </c>
      <c r="C17" s="12" t="inlineStr">
        <is>
          <t>Hydroponic Greenhouse</t>
        </is>
      </c>
      <c r="D17" s="22" t="n">
        <v>0.25</v>
      </c>
      <c r="E17" s="12" t="inlineStr">
        <is>
          <t>Endgame-T2 luxury chain</t>
        </is>
      </c>
    </row>
    <row r="18">
      <c r="A18" s="12" t="inlineStr">
        <is>
          <t>T3</t>
        </is>
      </c>
      <c r="B18" s="12" t="inlineStr">
        <is>
          <t>Logic Foundry</t>
        </is>
      </c>
      <c r="C18" s="12" t="inlineStr">
        <is>
          <t>Trace Mine</t>
        </is>
      </c>
      <c r="D18" s="22" t="n">
        <v>0.3</v>
      </c>
      <c r="E18" s="12" t="inlineStr">
        <is>
          <t>Signature T3 pair</t>
        </is>
      </c>
    </row>
    <row r="19">
      <c r="A19" s="12" t="inlineStr">
        <is>
          <t>T3</t>
        </is>
      </c>
      <c r="B19" s="12" t="inlineStr">
        <is>
          <t>Comms Workshop</t>
        </is>
      </c>
      <c r="C19" s="12" t="inlineStr">
        <is>
          <t>Logic Foundry</t>
        </is>
      </c>
      <c r="D19" s="22" t="n">
        <v>0.25</v>
      </c>
      <c r="E19" s="12" t="inlineStr">
        <is>
          <t>Mid-T3 chain stack</t>
        </is>
      </c>
    </row>
    <row r="20">
      <c r="A20" s="12" t="inlineStr">
        <is>
          <t>T3</t>
        </is>
      </c>
      <c r="B20" s="12" t="inlineStr">
        <is>
          <t>Sensor Lab</t>
        </is>
      </c>
      <c r="C20" s="12" t="inlineStr">
        <is>
          <t>Logic Foundry</t>
        </is>
      </c>
      <c r="D20" s="22" t="n">
        <v>0.25</v>
      </c>
      <c r="E20" s="12" t="inlineStr">
        <is>
          <t>Mid-T3 chain stack</t>
        </is>
      </c>
    </row>
    <row r="21">
      <c r="A21" s="12" t="inlineStr">
        <is>
          <t>T3</t>
        </is>
      </c>
      <c r="B21" s="12" t="inlineStr">
        <is>
          <t>Maintenance Shop</t>
        </is>
      </c>
      <c r="C21" s="12" t="inlineStr">
        <is>
          <t>Pressure-Valve Forge</t>
        </is>
      </c>
      <c r="D21" s="22" t="n">
        <v>0.2</v>
      </c>
      <c r="E21" s="12" t="inlineStr">
        <is>
          <t>Cross-tier (T2/T3)</t>
        </is>
      </c>
    </row>
    <row r="22">
      <c r="A22" s="12" t="inlineStr">
        <is>
          <t>T3</t>
        </is>
      </c>
      <c r="B22" s="12" t="inlineStr">
        <is>
          <t>Catalytic Reactor</t>
        </is>
      </c>
      <c r="C22" s="12" t="inlineStr">
        <is>
          <t>Electrolyzer</t>
        </is>
      </c>
      <c r="D22" s="22" t="n">
        <v>0.2</v>
      </c>
      <c r="E22" s="12" t="inlineStr">
        <is>
          <t>Fluid-stack pair</t>
        </is>
      </c>
    </row>
    <row r="23">
      <c r="A23" s="12" t="inlineStr">
        <is>
          <t>T3</t>
        </is>
      </c>
      <c r="B23" s="12" t="inlineStr">
        <is>
          <t>Automation Hub</t>
        </is>
      </c>
      <c r="C23" s="12" t="inlineStr">
        <is>
          <t>(any building)</t>
        </is>
      </c>
      <c r="D23" s="22" t="n">
        <v>0.1</v>
      </c>
      <c r="E23" s="12" t="inlineStr">
        <is>
          <t>On-site staff coordination; deliberately small</t>
        </is>
      </c>
    </row>
    <row r="25">
      <c r="A25" s="2" t="inlineStr">
        <is>
          <t>Range: 15%–35% (R72). Signature pairs sit at top (30%); standard pairs at 20–25%.</t>
        </is>
      </c>
    </row>
    <row r="26">
      <c r="A26" s="2" t="inlineStr">
        <is>
          <t>Stacking cap: max 2 pair bonuses per building. Pairs are bidirectional (each side receives the listed bonus).</t>
        </is>
      </c>
    </row>
    <row r="27">
      <c r="A27" s="2" t="inlineStr">
        <is>
          <t>Storage buildings (Silo / Tank / Cryo Tank) are neutral — don't grant or receive bonuses (R70).</t>
        </is>
      </c>
    </row>
    <row r="28">
      <c r="A28" s="2" t="inlineStr">
        <is>
          <t>Collaboration radius: default 2 tiles, uniform (R69). Per-building override architecturally supported.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</cols>
  <sheetData>
    <row r="1" ht="28" customHeight="1">
      <c r="A1" s="10" t="inlineStr">
        <is>
          <t>Tier Band</t>
        </is>
      </c>
      <c r="B1" s="10" t="inlineStr">
        <is>
          <t>Building</t>
        </is>
      </c>
      <c r="C1" s="10" t="inlineStr">
        <is>
          <t>People Cost</t>
        </is>
      </c>
    </row>
    <row r="2">
      <c r="A2" s="12" t="inlineStr">
        <is>
          <t>Source</t>
        </is>
      </c>
      <c r="B2" s="12" t="inlineStr">
        <is>
          <t>Earth-orbit starter crew (free, T0)</t>
        </is>
      </c>
      <c r="C2" s="23" t="n">
        <v>8</v>
      </c>
    </row>
    <row r="3">
      <c r="A3" s="12" t="inlineStr">
        <is>
          <t>T0</t>
        </is>
      </c>
      <c r="B3" s="12" t="inlineStr">
        <is>
          <t>Small Mine</t>
        </is>
      </c>
      <c r="C3" s="16" t="n">
        <v>2</v>
      </c>
    </row>
    <row r="4">
      <c r="A4" s="12" t="inlineStr">
        <is>
          <t>T0</t>
        </is>
      </c>
      <c r="B4" s="12" t="inlineStr">
        <is>
          <t>Ice Mine</t>
        </is>
      </c>
      <c r="C4" s="16" t="n">
        <v>2</v>
      </c>
    </row>
    <row r="5">
      <c r="A5" s="12" t="inlineStr">
        <is>
          <t>T0</t>
        </is>
      </c>
      <c r="B5" s="12" t="inlineStr">
        <is>
          <t>Smelter</t>
        </is>
      </c>
      <c r="C5" s="16" t="n">
        <v>3</v>
      </c>
    </row>
    <row r="6">
      <c r="A6" s="12" t="inlineStr">
        <is>
          <t>T0</t>
        </is>
      </c>
      <c r="B6" s="12" t="inlineStr">
        <is>
          <t>Electrolyzer</t>
        </is>
      </c>
      <c r="C6" s="16" t="n">
        <v>3</v>
      </c>
    </row>
    <row r="7">
      <c r="A7" s="12" t="inlineStr">
        <is>
          <t>T0</t>
        </is>
      </c>
      <c r="B7" s="12" t="inlineStr">
        <is>
          <t>Probe Bay</t>
        </is>
      </c>
      <c r="C7" s="16" t="n">
        <v>1</v>
      </c>
    </row>
    <row r="8">
      <c r="A8" s="12" t="inlineStr">
        <is>
          <t>T1</t>
        </is>
      </c>
      <c r="B8" s="12" t="inlineStr">
        <is>
          <t>Lunar Surface Mine</t>
        </is>
      </c>
      <c r="C8" s="16" t="n">
        <v>3</v>
      </c>
    </row>
    <row r="9">
      <c r="A9" s="12" t="inlineStr">
        <is>
          <t>T1</t>
        </is>
      </c>
      <c r="B9" s="12" t="inlineStr">
        <is>
          <t>Refinery (Aluminum)</t>
        </is>
      </c>
      <c r="C9" s="16" t="n">
        <v>4</v>
      </c>
    </row>
    <row r="10">
      <c r="A10" s="12" t="inlineStr">
        <is>
          <t>T1</t>
        </is>
      </c>
      <c r="B10" s="12" t="inlineStr">
        <is>
          <t>Construction Yard</t>
        </is>
      </c>
      <c r="C10" s="16" t="n">
        <v>5</v>
      </c>
    </row>
    <row r="11">
      <c r="A11" s="12" t="inlineStr">
        <is>
          <t>T1</t>
        </is>
      </c>
      <c r="B11" s="12" t="inlineStr">
        <is>
          <t>Habitat Assembler</t>
        </is>
      </c>
      <c r="C11" s="16" t="n">
        <v>6</v>
      </c>
    </row>
    <row r="12">
      <c r="A12" s="12" t="inlineStr">
        <is>
          <t>T1</t>
        </is>
      </c>
      <c r="B12" s="12" t="inlineStr">
        <is>
          <t>Greenhouse (small)</t>
        </is>
      </c>
      <c r="C12" s="16" t="n">
        <v>2</v>
      </c>
    </row>
    <row r="13">
      <c r="A13" s="12" t="inlineStr">
        <is>
          <t>T1</t>
        </is>
      </c>
      <c r="B13" s="12" t="inlineStr">
        <is>
          <t>Life Support (Water / Oxygen / Food, each)</t>
        </is>
      </c>
      <c r="C13" s="16" t="n">
        <v>1</v>
      </c>
    </row>
    <row r="14">
      <c r="A14" s="12" t="inlineStr">
        <is>
          <t>T2</t>
        </is>
      </c>
      <c r="B14" s="12" t="inlineStr">
        <is>
          <t>NEA Mine (any)</t>
        </is>
      </c>
      <c r="C14" s="16" t="n">
        <v>3</v>
      </c>
    </row>
    <row r="15">
      <c r="A15" s="12" t="inlineStr">
        <is>
          <t>T2</t>
        </is>
      </c>
      <c r="B15" s="12" t="inlineStr">
        <is>
          <t>Hydroponics Bay</t>
        </is>
      </c>
      <c r="C15" s="16" t="n">
        <v>3</v>
      </c>
    </row>
    <row r="16">
      <c r="A16" s="12" t="inlineStr">
        <is>
          <t>T2</t>
        </is>
      </c>
      <c r="B16" s="12" t="inlineStr">
        <is>
          <t>Hydroponic Greenhouse</t>
        </is>
      </c>
      <c r="C16" s="16" t="n">
        <v>3</v>
      </c>
    </row>
    <row r="17">
      <c r="A17" s="12" t="inlineStr">
        <is>
          <t>T2</t>
        </is>
      </c>
      <c r="B17" s="12" t="inlineStr">
        <is>
          <t>Glass Furnace</t>
        </is>
      </c>
      <c r="C17" s="16" t="n">
        <v>5</v>
      </c>
    </row>
    <row r="18">
      <c r="A18" s="12" t="inlineStr">
        <is>
          <t>T2</t>
        </is>
      </c>
      <c r="B18" s="12" t="inlineStr">
        <is>
          <t>Carbon Mill</t>
        </is>
      </c>
      <c r="C18" s="16" t="n">
        <v>4</v>
      </c>
    </row>
    <row r="19">
      <c r="A19" s="12" t="inlineStr">
        <is>
          <t>T2</t>
        </is>
      </c>
      <c r="B19" s="12" t="inlineStr">
        <is>
          <t>Pressure-Valve Forge</t>
        </is>
      </c>
      <c r="C19" s="16" t="n">
        <v>5</v>
      </c>
    </row>
    <row r="20">
      <c r="A20" s="12" t="inlineStr">
        <is>
          <t>T2</t>
        </is>
      </c>
      <c r="B20" s="12" t="inlineStr">
        <is>
          <t>Textile Mill</t>
        </is>
      </c>
      <c r="C20" s="16" t="n">
        <v>4</v>
      </c>
    </row>
    <row r="21">
      <c r="A21" s="12" t="inlineStr">
        <is>
          <t>T2</t>
        </is>
      </c>
      <c r="B21" s="12" t="inlineStr">
        <is>
          <t>Furnishings Workshop</t>
        </is>
      </c>
      <c r="C21" s="16" t="n">
        <v>6</v>
      </c>
    </row>
    <row r="22">
      <c r="A22" s="12" t="inlineStr">
        <is>
          <t>T2</t>
        </is>
      </c>
      <c r="B22" s="12" t="inlineStr">
        <is>
          <t>Distillery</t>
        </is>
      </c>
      <c r="C22" s="16" t="n">
        <v>4</v>
      </c>
    </row>
    <row r="23">
      <c r="A23" s="12" t="inlineStr">
        <is>
          <t>T3</t>
        </is>
      </c>
      <c r="B23" s="12" t="inlineStr">
        <is>
          <t>Trace Mine</t>
        </is>
      </c>
      <c r="C23" s="16" t="n">
        <v>3</v>
      </c>
    </row>
    <row r="24">
      <c r="A24" s="12" t="inlineStr">
        <is>
          <t>T3</t>
        </is>
      </c>
      <c r="B24" s="12" t="inlineStr">
        <is>
          <t>Logic Foundry</t>
        </is>
      </c>
      <c r="C24" s="16" t="n">
        <v>5</v>
      </c>
    </row>
    <row r="25">
      <c r="A25" s="12" t="inlineStr">
        <is>
          <t>T3</t>
        </is>
      </c>
      <c r="B25" s="12" t="inlineStr">
        <is>
          <t>Comms Workshop</t>
        </is>
      </c>
      <c r="C25" s="16" t="n">
        <v>5</v>
      </c>
    </row>
    <row r="26">
      <c r="A26" s="12" t="inlineStr">
        <is>
          <t>T3</t>
        </is>
      </c>
      <c r="B26" s="12" t="inlineStr">
        <is>
          <t>Sensor Lab</t>
        </is>
      </c>
      <c r="C26" s="16" t="n">
        <v>5</v>
      </c>
    </row>
    <row r="27">
      <c r="A27" s="12" t="inlineStr">
        <is>
          <t>T3</t>
        </is>
      </c>
      <c r="B27" s="12" t="inlineStr">
        <is>
          <t>Maintenance Shop</t>
        </is>
      </c>
      <c r="C27" s="16" t="n">
        <v>4</v>
      </c>
    </row>
    <row r="28">
      <c r="A28" s="12" t="inlineStr">
        <is>
          <t>T3</t>
        </is>
      </c>
      <c r="B28" s="12" t="inlineStr">
        <is>
          <t>Catalytic Reactor</t>
        </is>
      </c>
      <c r="C28" s="16" t="n">
        <v>5</v>
      </c>
    </row>
    <row r="29">
      <c r="A29" s="12" t="inlineStr">
        <is>
          <t>T3</t>
        </is>
      </c>
      <c r="B29" s="12" t="inlineStr">
        <is>
          <t>Automation Hub</t>
        </is>
      </c>
      <c r="C29" s="16" t="n">
        <v>1</v>
      </c>
    </row>
    <row r="30">
      <c r="A30" s="12" t="inlineStr">
        <is>
          <t>Storage</t>
        </is>
      </c>
      <c r="B30" s="12" t="inlineStr">
        <is>
          <t>Silo / Tank / Cryo Tank</t>
        </is>
      </c>
      <c r="C30" s="16" t="n">
        <v>0</v>
      </c>
    </row>
    <row r="32">
      <c r="A32" s="24" t="inlineStr">
        <is>
          <t>People Capacity sources &amp; multipliers</t>
        </is>
      </c>
    </row>
    <row r="33">
      <c r="A33" s="25" t="inlineStr">
        <is>
          <t>Source</t>
        </is>
      </c>
      <c r="B33" s="25" t="inlineStr">
        <is>
          <t>Contribution</t>
        </is>
      </c>
    </row>
    <row r="34">
      <c r="A34" s="26" t="inlineStr">
        <is>
          <t>Earth-orbit starter</t>
        </is>
      </c>
      <c r="B34" s="26" t="inlineStr">
        <is>
          <t>8 capacity (free, T0)</t>
        </is>
      </c>
    </row>
    <row r="35">
      <c r="A35" s="26" t="inlineStr">
        <is>
          <t>Each colony</t>
        </is>
      </c>
      <c r="B35" s="26" t="inlineStr">
        <is>
          <t>Pop × pop-tier multiplier (see Pop_Tiers)</t>
        </is>
      </c>
    </row>
    <row r="37">
      <c r="A37" s="24" t="inlineStr">
        <is>
          <t>T0 sanity check</t>
        </is>
      </c>
    </row>
    <row r="38">
      <c r="A38" s="26" t="inlineStr">
        <is>
          <t>Available capacity</t>
        </is>
      </c>
      <c r="C38" s="7" t="n">
        <v>8</v>
      </c>
    </row>
    <row r="39">
      <c r="A39" s="26" t="inlineStr">
        <is>
          <t>1 Small Mine + 1 Smelter + 1 Probe Bay</t>
        </is>
      </c>
      <c r="C39" s="8">
        <f>C3+C5+C7</f>
        <v/>
      </c>
    </row>
    <row r="40">
      <c r="A40" s="26" t="inlineStr">
        <is>
          <t>Reserve</t>
        </is>
      </c>
      <c r="C40" s="8">
        <f>C38-C39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40" customWidth="1" min="5" max="5"/>
    <col width="40" customWidth="1" min="6" max="6"/>
    <col width="18" customWidth="1" min="7" max="7"/>
  </cols>
  <sheetData>
    <row r="1" ht="28" customHeight="1">
      <c r="A1" s="10" t="inlineStr">
        <is>
          <t>Pop Tier</t>
        </is>
      </c>
      <c r="B1" s="10" t="inlineStr">
        <is>
          <t>Unlocks At</t>
        </is>
      </c>
      <c r="C1" s="10" t="inlineStr">
        <is>
          <t>Multiplier</t>
        </is>
      </c>
      <c r="D1" s="10" t="inlineStr">
        <is>
          <t>Settle-in Window</t>
        </is>
      </c>
      <c r="E1" s="10" t="inlineStr">
        <is>
          <t>Continuous Needs</t>
        </is>
      </c>
      <c r="F1" s="10" t="inlineStr">
        <is>
          <t>Growth-Tier Bundle (one-time)</t>
        </is>
      </c>
      <c r="G1" s="10" t="inlineStr">
        <is>
          <t>Sample 32-pop capacity</t>
        </is>
      </c>
    </row>
    <row r="2">
      <c r="A2" s="12" t="inlineStr">
        <is>
          <t>Survival</t>
        </is>
      </c>
      <c r="B2" s="12" t="inlineStr">
        <is>
          <t>T1 (first habitat)</t>
        </is>
      </c>
      <c r="C2" s="27" t="n">
        <v>1</v>
      </c>
      <c r="D2" s="12" t="inlineStr">
        <is>
          <t>5 min</t>
        </is>
      </c>
      <c r="E2" s="12" t="inlineStr">
        <is>
          <t>Water, Oxygen, Food Pack</t>
        </is>
      </c>
      <c r="F2" s="12" t="inlineStr">
        <is>
          <t>4 Construction Materials</t>
        </is>
      </c>
      <c r="G2" s="28">
        <f>32*C2</f>
        <v/>
      </c>
    </row>
    <row r="3">
      <c r="A3" s="12" t="inlineStr">
        <is>
          <t>Settled</t>
        </is>
      </c>
      <c r="B3" s="12" t="inlineStr">
        <is>
          <t>T1 (habitat upgraded)</t>
        </is>
      </c>
      <c r="C3" s="27" t="n">
        <v>1.25</v>
      </c>
      <c r="D3" s="12" t="inlineStr">
        <is>
          <t>20 min</t>
        </is>
      </c>
      <c r="E3" s="12" t="inlineStr">
        <is>
          <t>(no new continuous needs)</t>
        </is>
      </c>
      <c r="F3" s="12" t="inlineStr">
        <is>
          <t>8 Construction Materials + 2 Habitat Module</t>
        </is>
      </c>
      <c r="G3" s="28">
        <f>32*C3</f>
        <v/>
      </c>
    </row>
    <row r="4">
      <c r="A4" s="12" t="inlineStr">
        <is>
          <t>Growing</t>
        </is>
      </c>
      <c r="B4" s="12" t="inlineStr">
        <is>
          <t>T2 (Glass + Valves available)</t>
        </is>
      </c>
      <c r="C4" s="27" t="n">
        <v>1.5</v>
      </c>
      <c r="D4" s="12" t="inlineStr">
        <is>
          <t>1 h</t>
        </is>
      </c>
      <c r="E4" s="12" t="inlineStr">
        <is>
          <t>+ Pressure Valves drip (1 / pop / 30 min)</t>
        </is>
      </c>
      <c r="F4" s="12" t="inlineStr">
        <is>
          <t>6 Habitat Glass + 4 Pressure Valves</t>
        </is>
      </c>
      <c r="G4" s="28">
        <f>32*C4</f>
        <v/>
      </c>
    </row>
    <row r="5">
      <c r="A5" s="12" t="inlineStr">
        <is>
          <t>Comfortable</t>
        </is>
      </c>
      <c r="B5" s="12" t="inlineStr">
        <is>
          <t>T2 late</t>
        </is>
      </c>
      <c r="C5" s="27" t="n">
        <v>1.75</v>
      </c>
      <c r="D5" s="12" t="inlineStr">
        <is>
          <t>2 h</t>
        </is>
      </c>
      <c r="E5" s="12" t="inlineStr">
        <is>
          <t>+ Textiles drip (1 / pop / 60 min)</t>
        </is>
      </c>
      <c r="F5" s="12" t="inlineStr">
        <is>
          <t>8 Textiles + 4 Furnishings</t>
        </is>
      </c>
      <c r="G5" s="28">
        <f>32*C5</f>
        <v/>
      </c>
    </row>
    <row r="6">
      <c r="A6" s="12" t="inlineStr">
        <is>
          <t>Affluent</t>
        </is>
      </c>
      <c r="B6" s="12" t="inlineStr">
        <is>
          <t>T2 endgame</t>
        </is>
      </c>
      <c r="C6" s="27" t="n">
        <v>2</v>
      </c>
      <c r="D6" s="12" t="inlineStr">
        <is>
          <t>4 h</t>
        </is>
      </c>
      <c r="E6" s="12" t="inlineStr">
        <is>
          <t>+ Spirits drip (1 / pop / 90 min)</t>
        </is>
      </c>
      <c r="F6" s="12" t="inlineStr">
        <is>
          <t>6 Furnishings + 4 Spirits</t>
        </is>
      </c>
      <c r="G6" s="28">
        <f>32*C6</f>
        <v/>
      </c>
    </row>
    <row r="7">
      <c r="A7" s="12" t="inlineStr">
        <is>
          <t>Networked (T3)</t>
        </is>
      </c>
      <c r="B7" s="12" t="inlineStr">
        <is>
          <t>T3 endgame</t>
        </is>
      </c>
      <c r="C7" s="27" t="n">
        <v>2.25</v>
      </c>
      <c r="D7" s="12" t="inlineStr">
        <is>
          <t>8 h</t>
        </is>
      </c>
      <c r="E7" s="12" t="inlineStr">
        <is>
          <t>+ Comms Module drip (1 / pop / 60 min) + Sensor Array drip (1 / pop / 240 min)</t>
        </is>
      </c>
      <c r="F7" s="12" t="inlineStr">
        <is>
          <t>6 Comms Module + 4 Sensor Array</t>
        </is>
      </c>
      <c r="G7" s="28">
        <f>32*C7</f>
        <v/>
      </c>
    </row>
    <row r="9">
      <c r="A9" s="2" t="inlineStr">
        <is>
          <t>Settle-in across AFK: progresses while away, capped at one tier transition per AFK return (R67). Window resumes (does not restart).</t>
        </is>
      </c>
    </row>
    <row r="10">
      <c r="A10" s="2" t="inlineStr">
        <is>
          <t>Sample 32-pop capacity column: a hypothetical 32-population habitat at this tier — convenient ratio check vs. building people-cost totals.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 ht="28" customHeight="1">
      <c r="A1" s="10" t="inlineStr">
        <is>
          <t>Storage Building</t>
        </is>
      </c>
      <c r="B1" s="10" t="inlineStr">
        <is>
          <t>Class</t>
        </is>
      </c>
      <c r="C1" s="10" t="inlineStr">
        <is>
          <t>T0 cap</t>
        </is>
      </c>
      <c r="D1" s="10" t="inlineStr">
        <is>
          <t>T2 cap</t>
        </is>
      </c>
      <c r="E1" s="10" t="inlineStr">
        <is>
          <t>T4 cap</t>
        </is>
      </c>
      <c r="F1" s="10" t="inlineStr">
        <is>
          <t>T6 cap</t>
        </is>
      </c>
      <c r="G1" s="10" t="inlineStr">
        <is>
          <t>T2/T0 multiplier</t>
        </is>
      </c>
    </row>
    <row r="2">
      <c r="A2" s="12" t="inlineStr">
        <is>
          <t>Silo</t>
        </is>
      </c>
      <c r="B2" s="12" t="inlineStr">
        <is>
          <t>Solids</t>
        </is>
      </c>
      <c r="C2" s="16" t="n">
        <v>300</v>
      </c>
      <c r="D2" s="16" t="n">
        <v>900</v>
      </c>
      <c r="E2" s="16" t="n">
        <v>3000</v>
      </c>
      <c r="F2" s="16" t="n">
        <v>9000</v>
      </c>
      <c r="G2" s="29">
        <f>D2/C2</f>
        <v/>
      </c>
    </row>
    <row r="3">
      <c r="A3" s="12" t="inlineStr">
        <is>
          <t>Tank</t>
        </is>
      </c>
      <c r="B3" s="12" t="inlineStr">
        <is>
          <t>Fluids/Gases</t>
        </is>
      </c>
      <c r="C3" s="16" t="n">
        <v>180</v>
      </c>
      <c r="D3" s="16" t="n">
        <v>540</v>
      </c>
      <c r="E3" s="16" t="n">
        <v>1800</v>
      </c>
      <c r="F3" s="16" t="n">
        <v>5400</v>
      </c>
      <c r="G3" s="29">
        <f>D3/C3</f>
        <v/>
      </c>
    </row>
    <row r="4">
      <c r="A4" s="12" t="inlineStr">
        <is>
          <t>Cryo Tank</t>
        </is>
      </c>
      <c r="B4" s="12" t="inlineStr">
        <is>
          <t>Specialty cold-chain</t>
        </is>
      </c>
      <c r="C4" s="12" t="inlineStr">
        <is>
          <t>—</t>
        </is>
      </c>
      <c r="D4" s="16" t="n">
        <v>240</v>
      </c>
      <c r="E4" s="16" t="n">
        <v>800</v>
      </c>
      <c r="F4" s="16" t="n">
        <v>2400</v>
      </c>
      <c r="G4" s="12" t="inlineStr">
        <is>
          <t>—</t>
        </is>
      </c>
    </row>
    <row r="6">
      <c r="A6" s="2" t="inlineStr">
        <is>
          <t>Each storage building takes 1 grid slot. Capacity is per-resource (each Silo holds a single resource at a time, R74).</t>
        </is>
      </c>
    </row>
    <row r="7">
      <c r="A7" s="2" t="inlineStr">
        <is>
          <t>Auto-upgrade in place at tier transitions (R60) — no demolish/rebuild, no resource loss. Reassign empty storage for $200 (placeholder).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 ht="28" customHeight="1">
      <c r="A1" s="10" t="inlineStr">
        <is>
          <t>Leg</t>
        </is>
      </c>
      <c r="B1" s="10" t="inlineStr">
        <is>
          <t>Base Fuel</t>
        </is>
      </c>
    </row>
    <row r="2">
      <c r="A2" s="12" t="inlineStr">
        <is>
          <t>Earth ↔ Moon</t>
        </is>
      </c>
      <c r="B2" s="16" t="n">
        <v>3</v>
      </c>
    </row>
    <row r="3">
      <c r="A3" s="12" t="inlineStr">
        <is>
          <t>Earth ↔ NEA cluster</t>
        </is>
      </c>
      <c r="B3" s="16" t="n">
        <v>5</v>
      </c>
    </row>
    <row r="4">
      <c r="A4" s="12" t="inlineStr">
        <is>
          <t>NEA ↔ Lunar Habitat</t>
        </is>
      </c>
      <c r="B4" s="16" t="n">
        <v>2</v>
      </c>
    </row>
    <row r="5">
      <c r="A5" s="12" t="inlineStr">
        <is>
          <t>Earth ↔ Mars (window-good)</t>
        </is>
      </c>
      <c r="B5" s="16" t="n">
        <v>25</v>
      </c>
    </row>
    <row r="6">
      <c r="A6" s="12" t="inlineStr">
        <is>
          <t>Earth ↔ Mars (window-poor)</t>
        </is>
      </c>
      <c r="B6" s="16" t="n">
        <v>40</v>
      </c>
    </row>
    <row r="7">
      <c r="A7" s="12" t="inlineStr">
        <is>
          <t>Earth ↔ Belt</t>
        </is>
      </c>
      <c r="B7" s="16" t="n">
        <v>60</v>
      </c>
    </row>
    <row r="8">
      <c r="A8" s="12" t="inlineStr">
        <is>
          <t>Earth ↔ Jovian</t>
        </is>
      </c>
      <c r="B8" s="16" t="n">
        <v>140</v>
      </c>
    </row>
    <row r="10">
      <c r="A10" s="24" t="inlineStr">
        <is>
          <t>Window multipliers</t>
        </is>
      </c>
    </row>
    <row r="11">
      <c r="A11" s="26" t="inlineStr">
        <is>
          <t>Good window</t>
        </is>
      </c>
      <c r="B11" s="30" t="n">
        <v>0.85</v>
      </c>
    </row>
    <row r="12">
      <c r="A12" s="26" t="inlineStr">
        <is>
          <t>Neutral</t>
        </is>
      </c>
      <c r="B12" s="30" t="n">
        <v>1</v>
      </c>
    </row>
    <row r="13">
      <c r="A13" s="26" t="inlineStr">
        <is>
          <t>Poor window</t>
        </is>
      </c>
      <c r="B13" s="30" t="n">
        <v>1.25</v>
      </c>
    </row>
    <row r="15">
      <c r="A15" s="24" t="inlineStr">
        <is>
          <t>Sample: Hauler-1 fuel cost per leg (neutral window)</t>
        </is>
      </c>
    </row>
    <row r="16" ht="28" customHeight="1">
      <c r="A16" s="10" t="inlineStr">
        <is>
          <t>Leg</t>
        </is>
      </c>
      <c r="B16" s="10" t="inlineStr">
        <is>
          <t>Base</t>
        </is>
      </c>
      <c r="C16" s="10" t="inlineStr">
        <is>
          <t>Hull mult (Hauler-1)</t>
        </is>
      </c>
      <c r="D16" s="10" t="inlineStr">
        <is>
          <t>Window mult</t>
        </is>
      </c>
      <c r="E16" s="10" t="inlineStr">
        <is>
          <t>Total fuel</t>
        </is>
      </c>
    </row>
    <row r="17">
      <c r="A17" s="12" t="inlineStr">
        <is>
          <t>Earth ↔ Moon</t>
        </is>
      </c>
      <c r="B17" s="31">
        <f>B3</f>
        <v/>
      </c>
      <c r="C17" s="27" t="n">
        <v>1</v>
      </c>
      <c r="D17" s="32">
        <f>B12</f>
        <v/>
      </c>
      <c r="E17" s="28">
        <f>B17*C17*D17</f>
        <v/>
      </c>
    </row>
    <row r="18">
      <c r="A18" s="12" t="inlineStr">
        <is>
          <t>Earth ↔ NEA cluster</t>
        </is>
      </c>
      <c r="B18" s="31">
        <f>B4</f>
        <v/>
      </c>
      <c r="C18" s="27" t="n">
        <v>1</v>
      </c>
      <c r="D18" s="32">
        <f>B12</f>
        <v/>
      </c>
      <c r="E18" s="28">
        <f>B18*C18*D18</f>
        <v/>
      </c>
    </row>
    <row r="19">
      <c r="A19" s="12" t="inlineStr">
        <is>
          <t>NEA ↔ Lunar Habitat</t>
        </is>
      </c>
      <c r="B19" s="31">
        <f>B5</f>
        <v/>
      </c>
      <c r="C19" s="27" t="n">
        <v>1</v>
      </c>
      <c r="D19" s="32">
        <f>B12</f>
        <v/>
      </c>
      <c r="E19" s="28">
        <f>B19*C19*D19</f>
        <v/>
      </c>
    </row>
    <row r="20">
      <c r="A20" s="12" t="inlineStr">
        <is>
          <t>Earth ↔ Mars (window-good)</t>
        </is>
      </c>
      <c r="B20" s="31">
        <f>B6</f>
        <v/>
      </c>
      <c r="C20" s="27" t="n">
        <v>1</v>
      </c>
      <c r="D20" s="32">
        <f>B12</f>
        <v/>
      </c>
      <c r="E20" s="28">
        <f>B20*C20*D20</f>
        <v/>
      </c>
    </row>
    <row r="21">
      <c r="A21" s="12" t="inlineStr">
        <is>
          <t>Earth ↔ Mars (window-poor)</t>
        </is>
      </c>
      <c r="B21" s="31">
        <f>B7</f>
        <v/>
      </c>
      <c r="C21" s="27" t="n">
        <v>1</v>
      </c>
      <c r="D21" s="32">
        <f>B12</f>
        <v/>
      </c>
      <c r="E21" s="28">
        <f>B21*C21*D21</f>
        <v/>
      </c>
    </row>
    <row r="22">
      <c r="A22" s="12" t="inlineStr">
        <is>
          <t>Earth ↔ Belt</t>
        </is>
      </c>
      <c r="B22" s="31">
        <f>B8</f>
        <v/>
      </c>
      <c r="C22" s="27" t="n">
        <v>1</v>
      </c>
      <c r="D22" s="32">
        <f>B12</f>
        <v/>
      </c>
      <c r="E22" s="28">
        <f>B22*C22*D22</f>
        <v/>
      </c>
    </row>
    <row r="23">
      <c r="A23" s="12" t="inlineStr">
        <is>
          <t>Earth ↔ Jovian</t>
        </is>
      </c>
      <c r="B23" s="31">
        <f>B9</f>
        <v/>
      </c>
      <c r="C23" s="27" t="n">
        <v>1</v>
      </c>
      <c r="D23" s="32">
        <f>B12</f>
        <v/>
      </c>
      <c r="E23" s="28">
        <f>B23*C23*D23</f>
        <v/>
      </c>
    </row>
    <row r="25">
      <c r="A25" s="2" t="inlineStr">
        <is>
          <t>Fuel deducts from origin body's tank at dispatch. Multi-stop: per-leg deduction at each leg's origin.</t>
        </is>
      </c>
    </row>
    <row r="26">
      <c r="A26" s="2" t="inlineStr">
        <is>
          <t>Mid-route empty origin → ship strands; recovery: dispatch tanker (or buy Earth-bought Hydrogen Fuel order).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2" customWidth="1" min="3" max="3"/>
    <col width="12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0" t="inlineStr">
        <is>
          <t>Hull</t>
        </is>
      </c>
      <c r="B1" s="10" t="inlineStr">
        <is>
          <t>Tier</t>
        </is>
      </c>
      <c r="C1" s="10" t="inlineStr">
        <is>
          <t>Family</t>
        </is>
      </c>
      <c r="D1" s="10" t="inlineStr">
        <is>
          <t>Solid slots</t>
        </is>
      </c>
      <c r="E1" s="10" t="inlineStr">
        <is>
          <t>Fluid slots</t>
        </is>
      </c>
      <c r="F1" s="10" t="inlineStr">
        <is>
          <t>Total slots</t>
        </is>
      </c>
      <c r="G1" s="10" t="inlineStr">
        <is>
          <t>Speed</t>
        </is>
      </c>
      <c r="H1" s="10" t="inlineStr">
        <is>
          <t>Fuel/Route</t>
        </is>
      </c>
      <c r="I1" s="10" t="inlineStr">
        <is>
          <t>Earth Buy</t>
        </is>
      </c>
      <c r="J1" s="10" t="inlineStr">
        <is>
          <t>$ per slot</t>
        </is>
      </c>
    </row>
    <row r="2">
      <c r="A2" s="12" t="inlineStr">
        <is>
          <t>Hauler-1</t>
        </is>
      </c>
      <c r="B2" s="12" t="inlineStr">
        <is>
          <t>T0</t>
        </is>
      </c>
      <c r="C2" s="12" t="inlineStr">
        <is>
          <t>Specialized Solid</t>
        </is>
      </c>
      <c r="D2" s="16" t="n">
        <v>30</v>
      </c>
      <c r="E2" s="16" t="n">
        <v>0</v>
      </c>
      <c r="F2" s="17">
        <f>D2+E2</f>
        <v/>
      </c>
      <c r="G2" s="27" t="n">
        <v>1</v>
      </c>
      <c r="H2" s="27" t="n">
        <v>1</v>
      </c>
      <c r="I2" s="33" t="n">
        <v>3000</v>
      </c>
      <c r="J2" s="34">
        <f>I2/F2</f>
        <v/>
      </c>
    </row>
    <row r="3">
      <c r="A3" s="12" t="inlineStr">
        <is>
          <t>Mixer-1</t>
        </is>
      </c>
      <c r="B3" s="12" t="inlineStr">
        <is>
          <t>T0</t>
        </is>
      </c>
      <c r="C3" s="12" t="inlineStr">
        <is>
          <t>Combined</t>
        </is>
      </c>
      <c r="D3" s="16" t="n">
        <v>20</v>
      </c>
      <c r="E3" s="16" t="n">
        <v>10</v>
      </c>
      <c r="F3" s="17">
        <f>D3+E3</f>
        <v/>
      </c>
      <c r="G3" s="27" t="n">
        <v>0.95</v>
      </c>
      <c r="H3" s="27" t="n">
        <v>1.05</v>
      </c>
      <c r="I3" s="33" t="n">
        <v>4200</v>
      </c>
      <c r="J3" s="34">
        <f>I3/F3</f>
        <v/>
      </c>
    </row>
    <row r="4">
      <c r="A4" s="12" t="inlineStr">
        <is>
          <t>Tanker-1</t>
        </is>
      </c>
      <c r="B4" s="12" t="inlineStr">
        <is>
          <t>T1</t>
        </is>
      </c>
      <c r="C4" s="12" t="inlineStr">
        <is>
          <t>Specialized Fluid</t>
        </is>
      </c>
      <c r="D4" s="16" t="n">
        <v>0</v>
      </c>
      <c r="E4" s="16" t="n">
        <v>25</v>
      </c>
      <c r="F4" s="17">
        <f>D4+E4</f>
        <v/>
      </c>
      <c r="G4" s="27" t="n">
        <v>0.9</v>
      </c>
      <c r="H4" s="27" t="n">
        <v>1.1</v>
      </c>
      <c r="I4" s="33" t="n">
        <v>4800</v>
      </c>
      <c r="J4" s="34">
        <f>I4/F4</f>
        <v/>
      </c>
    </row>
    <row r="5">
      <c r="A5" s="12" t="inlineStr">
        <is>
          <t>Hauler-2</t>
        </is>
      </c>
      <c r="B5" s="12" t="inlineStr">
        <is>
          <t>T2</t>
        </is>
      </c>
      <c r="C5" s="12" t="inlineStr">
        <is>
          <t>Specialized Solid</t>
        </is>
      </c>
      <c r="D5" s="16" t="n">
        <v>75</v>
      </c>
      <c r="E5" s="16" t="n">
        <v>0</v>
      </c>
      <c r="F5" s="17">
        <f>D5+E5</f>
        <v/>
      </c>
      <c r="G5" s="27" t="n">
        <v>1.1</v>
      </c>
      <c r="H5" s="27" t="n">
        <v>1.3</v>
      </c>
      <c r="I5" s="33" t="n">
        <v>9500</v>
      </c>
      <c r="J5" s="34">
        <f>I5/F5</f>
        <v/>
      </c>
    </row>
    <row r="6">
      <c r="A6" s="12" t="inlineStr">
        <is>
          <t>Tanker-2</t>
        </is>
      </c>
      <c r="B6" s="12" t="inlineStr">
        <is>
          <t>T2</t>
        </is>
      </c>
      <c r="C6" s="12" t="inlineStr">
        <is>
          <t>Specialized Fluid</t>
        </is>
      </c>
      <c r="D6" s="16" t="n">
        <v>0</v>
      </c>
      <c r="E6" s="16" t="n">
        <v>60</v>
      </c>
      <c r="F6" s="17">
        <f>D6+E6</f>
        <v/>
      </c>
      <c r="G6" s="27" t="n">
        <v>1</v>
      </c>
      <c r="H6" s="27" t="n">
        <v>1.4</v>
      </c>
      <c r="I6" s="33" t="n">
        <v>11500</v>
      </c>
      <c r="J6" s="34">
        <f>I6/F6</f>
        <v/>
      </c>
    </row>
    <row r="7">
      <c r="A7" s="12" t="inlineStr">
        <is>
          <t>Mixer-2</t>
        </is>
      </c>
      <c r="B7" s="12" t="inlineStr">
        <is>
          <t>T2</t>
        </is>
      </c>
      <c r="C7" s="12" t="inlineStr">
        <is>
          <t>Combined</t>
        </is>
      </c>
      <c r="D7" s="16" t="n">
        <v>45</v>
      </c>
      <c r="E7" s="16" t="n">
        <v>25</v>
      </c>
      <c r="F7" s="17">
        <f>D7+E7</f>
        <v/>
      </c>
      <c r="G7" s="27" t="n">
        <v>1</v>
      </c>
      <c r="H7" s="27" t="n">
        <v>1.4</v>
      </c>
      <c r="I7" s="33" t="n">
        <v>12500</v>
      </c>
      <c r="J7" s="34">
        <f>I7/F7</f>
        <v/>
      </c>
    </row>
    <row r="9">
      <c r="A9" s="2" t="inlineStr">
        <is>
          <t>$ per slot = Earth Buy ÷ Total slots — efficiency-vs-investment metric for fleet purchase decisions.</t>
        </is>
      </c>
    </row>
    <row r="10">
      <c r="A10" s="2" t="inlineStr">
        <is>
          <t>Specialist hulls (probe ships, builders) deferred — at T0–T2 the Probe Bay building handles surveys.</t>
        </is>
      </c>
    </row>
    <row r="11">
      <c r="A11" s="2" t="inlineStr">
        <is>
          <t>T2 hulls roughly 3× capacity at ~3× cost — meaningful investment, not free upgrade.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50" customWidth="1" min="4" max="4"/>
    <col width="50" customWidth="1" min="5" max="5"/>
  </cols>
  <sheetData>
    <row r="1" ht="28" customHeight="1">
      <c r="A1" s="10" t="inlineStr">
        <is>
          <t>Transition</t>
        </is>
      </c>
      <c r="B1" s="10" t="inlineStr">
        <is>
          <t>Clause</t>
        </is>
      </c>
      <c r="C1" s="10" t="inlineStr">
        <is>
          <t>Theme</t>
        </is>
      </c>
      <c r="D1" s="10" t="inlineStr">
        <is>
          <t>Primary Path</t>
        </is>
      </c>
      <c r="E1" s="10" t="inlineStr">
        <is>
          <t>Alternate Path</t>
        </is>
      </c>
    </row>
    <row r="2" ht="36" customHeight="1">
      <c r="A2" s="12" t="inlineStr">
        <is>
          <t>T0 → T1 (Lunar Foothold)</t>
        </is>
      </c>
      <c r="B2" s="35" t="inlineStr">
        <is>
          <t>A</t>
        </is>
      </c>
      <c r="C2" s="12" t="inlineStr">
        <is>
          <t>Refined output</t>
        </is>
      </c>
      <c r="D2" s="36" t="inlineStr">
        <is>
          <t>Sell 200 Refined Metal to Earth</t>
        </is>
      </c>
      <c r="E2" s="36" t="inlineStr">
        <is>
          <t>Sell 800 Iron Ore raw to Earth</t>
        </is>
      </c>
    </row>
    <row r="3" ht="36" customHeight="1">
      <c r="A3" s="12" t="inlineStr">
        <is>
          <t>T0 → T1 (Lunar Foothold)</t>
        </is>
      </c>
      <c r="B3" s="35" t="inlineStr">
        <is>
          <t>B</t>
        </is>
      </c>
      <c r="C3" s="12" t="inlineStr">
        <is>
          <t>Fuel readiness</t>
        </is>
      </c>
      <c r="D3" s="36" t="inlineStr">
        <is>
          <t>Accumulate 50 Hydrogen Fuel reserves at any single body</t>
        </is>
      </c>
      <c r="E3" s="36" t="inlineStr">
        <is>
          <t>Sell 80 Hydrogen Fuel cumulatively to Earth</t>
        </is>
      </c>
    </row>
    <row r="4" ht="36" customHeight="1">
      <c r="A4" s="12" t="inlineStr">
        <is>
          <t>T1 → T2 (NEA Industry)</t>
        </is>
      </c>
      <c r="B4" s="35" t="inlineStr">
        <is>
          <t>A</t>
        </is>
      </c>
      <c r="C4" s="12" t="inlineStr">
        <is>
          <t>Settlement</t>
        </is>
      </c>
      <c r="D4" s="36" t="inlineStr">
        <is>
          <t>First habitat reaches Pop 50</t>
        </is>
      </c>
      <c r="E4" s="36" t="inlineStr">
        <is>
          <t>Maintain Survival tier on 2 distinct habitats simultaneously</t>
        </is>
      </c>
    </row>
    <row r="5" ht="36" customHeight="1">
      <c r="A5" s="12" t="inlineStr">
        <is>
          <t>T1 → T2 (NEA Industry)</t>
        </is>
      </c>
      <c r="B5" s="35" t="inlineStr">
        <is>
          <t>B</t>
        </is>
      </c>
      <c r="C5" s="12" t="inlineStr">
        <is>
          <t>Frontier reach</t>
        </is>
      </c>
      <c r="D5" s="36" t="inlineStr">
        <is>
          <t>Claim 2 NEA surveys</t>
        </is>
      </c>
      <c r="E5" s="36" t="inlineStr">
        <is>
          <t>Claim 1 NEA + 1 lunar surface site</t>
        </is>
      </c>
    </row>
    <row r="6" ht="36" customHeight="1">
      <c r="A6" s="12" t="inlineStr">
        <is>
          <t>T2 → T3 (Cislunar Network)</t>
        </is>
      </c>
      <c r="B6" s="35" t="inlineStr">
        <is>
          <t>A</t>
        </is>
      </c>
      <c r="C6" s="12" t="inlineStr">
        <is>
          <t>Local life support</t>
        </is>
      </c>
      <c r="D6" s="36" t="inlineStr">
        <is>
          <t>Local oxygen break-even at lunar habitat (no Earth O2 imports for 24h game time)</t>
        </is>
      </c>
      <c r="E6" s="36" t="inlineStr">
        <is>
          <t>Ship 200 locally-produced Oxygen to a different body cumulatively</t>
        </is>
      </c>
    </row>
    <row r="7" ht="36" customHeight="1">
      <c r="A7" s="12" t="inlineStr">
        <is>
          <t>T2 → T3 (Cislunar Network)</t>
        </is>
      </c>
      <c r="B7" s="35" t="inlineStr">
        <is>
          <t>B</t>
        </is>
      </c>
      <c r="C7" s="12" t="inlineStr">
        <is>
          <t>Pop maturity</t>
        </is>
      </c>
      <c r="D7" s="36" t="inlineStr">
        <is>
          <t>Habitat reaches Comfortable pop tier</t>
        </is>
      </c>
      <c r="E7" s="36" t="inlineStr">
        <is>
          <t>Growing pop tier on 2 habitats simultaneously</t>
        </is>
      </c>
    </row>
    <row r="8" ht="36" customHeight="1">
      <c r="A8" s="12" t="inlineStr">
        <is>
          <t>T3 → T4 (Martian Reach)</t>
        </is>
      </c>
      <c r="B8" s="35" t="inlineStr">
        <is>
          <t>A</t>
        </is>
      </c>
      <c r="C8" s="12" t="inlineStr">
        <is>
          <t>Distributed production</t>
        </is>
      </c>
      <c r="D8" s="36" t="inlineStr">
        <is>
          <t>Build first non-Earth shipyard at Mars orbit</t>
        </is>
      </c>
      <c r="E8" s="36" t="inlineStr">
        <is>
          <t>Establish Industrial Control Unit production at 2 distinct bodies (T4 placeholder)</t>
        </is>
      </c>
    </row>
    <row r="9" ht="36" customHeight="1">
      <c r="A9" s="12" t="inlineStr">
        <is>
          <t>T3 → T4 (Martian Reach)</t>
        </is>
      </c>
      <c r="B9" s="35" t="inlineStr">
        <is>
          <t>B</t>
        </is>
      </c>
      <c r="C9" s="12" t="inlineStr">
        <is>
          <t>Networked colony</t>
        </is>
      </c>
      <c r="D9" s="36" t="inlineStr">
        <is>
          <t>Maintain a Networked-tier colony</t>
        </is>
      </c>
      <c r="E9" s="36" t="inlineStr">
        <is>
          <t>Maintain Affluent + 2 Comfortable colonies simultaneously</t>
        </is>
      </c>
    </row>
    <row r="11">
      <c r="A11" s="2" t="inlineStr">
        <is>
          <t>Both clauses must complete (primary OR alternate within each clause). Alternates are equivalent-difficulty-different-approach (R76).</t>
        </is>
      </c>
    </row>
    <row r="12">
      <c r="A12" s="2" t="inlineStr">
        <is>
          <t>Stage 3 acceptance: 10–25% of runs reach the alternate path (signal it's a real lane, not a curiosity).</t>
        </is>
      </c>
    </row>
    <row r="13">
      <c r="A13" s="2" t="inlineStr">
        <is>
          <t>T4+ gates remain at named-only level (Pending #39).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 ht="28" customHeight="1">
      <c r="A1" s="10" t="inlineStr">
        <is>
          <t>Action</t>
        </is>
      </c>
      <c r="B1" s="10" t="inlineStr">
        <is>
          <t>Duration</t>
        </is>
      </c>
      <c r="C1" s="10" t="inlineStr">
        <is>
          <t>Seconds (parsed)</t>
        </is>
      </c>
    </row>
    <row r="2">
      <c r="A2" s="12" t="inlineStr">
        <is>
          <t>Survey one NEA (T0 probe)</t>
        </is>
      </c>
      <c r="B2" s="12" t="inlineStr">
        <is>
          <t>4 min</t>
        </is>
      </c>
      <c r="C2" s="16" t="n">
        <v>240</v>
      </c>
    </row>
    <row r="3">
      <c r="A3" s="12" t="inlineStr">
        <is>
          <t>Mine cycle (small mine, 1 batch)</t>
        </is>
      </c>
      <c r="B3" s="12" t="inlineStr">
        <is>
          <t>30 s</t>
        </is>
      </c>
      <c r="C3" s="16" t="n">
        <v>30</v>
      </c>
    </row>
    <row r="4">
      <c r="A4" s="12" t="inlineStr">
        <is>
          <t>Smelt cycle</t>
        </is>
      </c>
      <c r="B4" s="12" t="inlineStr">
        <is>
          <t>45 s</t>
        </is>
      </c>
      <c r="C4" s="16" t="n">
        <v>45</v>
      </c>
    </row>
    <row r="5">
      <c r="A5" s="12" t="inlineStr">
        <is>
          <t>Build small habitat</t>
        </is>
      </c>
      <c r="B5" s="12" t="inlineStr">
        <is>
          <t>8 min</t>
        </is>
      </c>
      <c r="C5" s="16" t="n">
        <v>480</v>
      </c>
    </row>
    <row r="6">
      <c r="A6" s="12" t="inlineStr">
        <is>
          <t>Earth → Moon transit (good window)</t>
        </is>
      </c>
      <c r="B6" s="12" t="inlineStr">
        <is>
          <t>6 min</t>
        </is>
      </c>
      <c r="C6" s="16" t="n">
        <v>360</v>
      </c>
    </row>
    <row r="7">
      <c r="A7" s="12" t="inlineStr">
        <is>
          <t>Earth → Mars transit (good window)</t>
        </is>
      </c>
      <c r="B7" s="12" t="inlineStr">
        <is>
          <t>35 min</t>
        </is>
      </c>
      <c r="C7" s="16" t="n">
        <v>2100</v>
      </c>
    </row>
    <row r="8">
      <c r="A8" s="12" t="inlineStr">
        <is>
          <t>Earth → Belt transit</t>
        </is>
      </c>
      <c r="B8" s="12" t="inlineStr">
        <is>
          <t>90 min</t>
        </is>
      </c>
      <c r="C8" s="16" t="n">
        <v>5400</v>
      </c>
    </row>
    <row r="9">
      <c r="A9" s="12" t="inlineStr">
        <is>
          <t>Build T1 ship at Earth shipyard</t>
        </is>
      </c>
      <c r="B9" s="12" t="inlineStr">
        <is>
          <t>12 min</t>
        </is>
      </c>
      <c r="C9" s="16" t="n">
        <v>720</v>
      </c>
    </row>
    <row r="10">
      <c r="A10" s="12" t="inlineStr">
        <is>
          <t>Pop-tier settle-in: Survival</t>
        </is>
      </c>
      <c r="B10" s="12" t="inlineStr">
        <is>
          <t>5 min</t>
        </is>
      </c>
      <c r="C10" s="16" t="n">
        <v>300</v>
      </c>
    </row>
    <row r="11">
      <c r="A11" s="12" t="inlineStr">
        <is>
          <t>Pop-tier settle-in: Settled</t>
        </is>
      </c>
      <c r="B11" s="12" t="inlineStr">
        <is>
          <t>20 min</t>
        </is>
      </c>
      <c r="C11" s="16" t="n">
        <v>1200</v>
      </c>
    </row>
    <row r="12">
      <c r="A12" s="12" t="inlineStr">
        <is>
          <t>Pop-tier settle-in: Growing</t>
        </is>
      </c>
      <c r="B12" s="12" t="inlineStr">
        <is>
          <t>1 h</t>
        </is>
      </c>
      <c r="C12" s="16" t="n">
        <v>3600</v>
      </c>
    </row>
    <row r="13">
      <c r="A13" s="12" t="inlineStr">
        <is>
          <t>Pop-tier settle-in: Comfortable</t>
        </is>
      </c>
      <c r="B13" s="12" t="inlineStr">
        <is>
          <t>2 h</t>
        </is>
      </c>
      <c r="C13" s="16" t="n">
        <v>7200</v>
      </c>
    </row>
    <row r="14">
      <c r="A14" s="12" t="inlineStr">
        <is>
          <t>Pop-tier settle-in: Affluent</t>
        </is>
      </c>
      <c r="B14" s="12" t="inlineStr">
        <is>
          <t>4 h</t>
        </is>
      </c>
      <c r="C14" s="16" t="n">
        <v>14400</v>
      </c>
    </row>
    <row r="15">
      <c r="A15" s="12" t="inlineStr">
        <is>
          <t>Pop-tier settle-in: Networked</t>
        </is>
      </c>
      <c r="B15" s="12" t="inlineStr">
        <is>
          <t>8 h</t>
        </is>
      </c>
      <c r="C15" s="16" t="n">
        <v>28800</v>
      </c>
    </row>
    <row r="16">
      <c r="A16" s="12" t="inlineStr">
        <is>
          <t>AFK catch-up hard cap</t>
        </is>
      </c>
      <c r="B16" s="12" t="inlineStr">
        <is>
          <t>24 h</t>
        </is>
      </c>
      <c r="C16" s="16" t="n">
        <v>86400</v>
      </c>
    </row>
    <row r="18">
      <c r="A18" s="2" t="inlineStr">
        <is>
          <t>Game time : real time = 1:1. Simulation tick = 1 Hz foreground; deterministic catch-up offline.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50" customWidth="1" min="4" max="4"/>
    <col width="30" customWidth="1" min="5" max="5"/>
  </cols>
  <sheetData>
    <row r="1" ht="28" customHeight="1">
      <c r="A1" s="10" t="inlineStr">
        <is>
          <t>Tier</t>
        </is>
      </c>
      <c r="B1" s="10" t="inlineStr">
        <is>
          <t>Kit Name</t>
        </is>
      </c>
      <c r="C1" s="10" t="inlineStr">
        <is>
          <t>Cost</t>
        </is>
      </c>
      <c r="D1" s="10" t="inlineStr">
        <is>
          <t>Contents</t>
        </is>
      </c>
      <c r="E1" s="10" t="inlineStr">
        <is>
          <t>Notes</t>
        </is>
      </c>
    </row>
    <row r="2">
      <c r="A2" s="12" t="inlineStr">
        <is>
          <t>T1</t>
        </is>
      </c>
      <c r="B2" s="12" t="inlineStr">
        <is>
          <t>Lunar Habitat Kit</t>
        </is>
      </c>
      <c r="C2" s="12" t="inlineStr">
        <is>
          <t>(unspec)</t>
        </is>
      </c>
      <c r="D2" s="12" t="inlineStr">
        <is>
          <t>1 Habitat Module (drops directly on Moon)</t>
        </is>
      </c>
      <c r="E2" s="12" t="inlineStr">
        <is>
          <t>Bootstraps first habitat before local construction chain</t>
        </is>
      </c>
    </row>
    <row r="3">
      <c r="A3" s="12" t="inlineStr">
        <is>
          <t>T1</t>
        </is>
      </c>
      <c r="B3" s="12" t="inlineStr">
        <is>
          <t>Lunar Surface Mine Kit</t>
        </is>
      </c>
      <c r="C3" s="12" t="inlineStr">
        <is>
          <t>(unspec)</t>
        </is>
      </c>
      <c r="D3" s="12" t="inlineStr">
        <is>
          <t>1 Lunar Surface Mine (drops on Moon)</t>
        </is>
      </c>
      <c r="E3" s="12" t="inlineStr">
        <is>
          <t>Bootstraps first local mine</t>
        </is>
      </c>
    </row>
    <row r="4">
      <c r="A4" s="12" t="inlineStr">
        <is>
          <t>T3</t>
        </is>
      </c>
      <c r="B4" s="12" t="inlineStr">
        <is>
          <t>Cislunar Comms Relay Kit</t>
        </is>
      </c>
      <c r="C4" s="33" t="n">
        <v>28000</v>
      </c>
      <c r="D4" s="12" t="inlineStr">
        <is>
          <t>1 Comms Workshop + 1 Automation Hub</t>
        </is>
      </c>
      <c r="E4" s="12" t="inlineStr">
        <is>
          <t>Bootstraps automation on first non-lunar T3 expansion</t>
        </is>
      </c>
    </row>
    <row r="5">
      <c r="A5" s="12" t="inlineStr">
        <is>
          <t>T3</t>
        </is>
      </c>
      <c r="B5" s="12" t="inlineStr">
        <is>
          <t>Sensor Network Kit</t>
        </is>
      </c>
      <c r="C5" s="33" t="n">
        <v>22000</v>
      </c>
      <c r="D5" s="12" t="inlineStr">
        <is>
          <t>1 Sensor Lab + 2 Maintenance Shops</t>
        </is>
      </c>
      <c r="E5" s="12" t="inlineStr">
        <is>
          <t>Bootstraps fleet maintenance scaling</t>
        </is>
      </c>
    </row>
    <row r="6">
      <c r="A6" s="12" t="inlineStr">
        <is>
          <t>T4</t>
        </is>
      </c>
      <c r="B6" s="12" t="inlineStr">
        <is>
          <t>Mars Foothold Kit</t>
        </is>
      </c>
      <c r="C6" s="12" t="inlineStr">
        <is>
          <t>(unspec)</t>
        </is>
      </c>
      <c r="D6" s="12" t="inlineStr">
        <is>
          <t>(deferred to T4 drill)</t>
        </is>
      </c>
      <c r="E6" s="12" t="inlineStr">
        <is>
          <t>Pending #39</t>
        </is>
      </c>
    </row>
    <row r="8">
      <c r="A8" s="2" t="inlineStr">
        <is>
          <t>Hand-authored, 1-of-1 per kit per tier (R37). Each kit = a tier-up payoff moment.</t>
        </is>
      </c>
    </row>
    <row r="9">
      <c r="A9" s="2" t="inlineStr">
        <is>
          <t>Total catalog target: ~10–14 kits across T1–T6 (Content Targets).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>
      <c r="A1" s="37" t="inlineStr">
        <is>
          <t>T1–T2 Math Drill: 60-pop Comfortable Lunar Habitat</t>
        </is>
      </c>
    </row>
    <row r="2">
      <c r="A2" s="2" t="inlineStr">
        <is>
          <t>Target: validate that placeholder numbers can sustain a Comfortable colony on a 7×7 lunar grid (~25–49 slots) within People Capacity at this tier.</t>
        </is>
      </c>
    </row>
    <row r="3">
      <c r="A3" s="2" t="inlineStr">
        <is>
          <t>Edit blue inputs to test sensitivity. Black formulas update; the slack readouts at the bottom flag bottlenecks.</t>
        </is>
      </c>
    </row>
    <row r="5">
      <c r="A5" s="38" t="inlineStr">
        <is>
          <t>1. Scenario Inputs</t>
        </is>
      </c>
      <c r="B5" s="39" t="n"/>
      <c r="C5" s="39" t="n"/>
      <c r="D5" s="39" t="n"/>
      <c r="E5" s="39" t="n"/>
      <c r="F5" s="39" t="n"/>
      <c r="G5" s="39" t="n"/>
      <c r="H5" s="39" t="n"/>
    </row>
    <row r="6">
      <c r="A6" t="inlineStr">
        <is>
          <t>Population</t>
        </is>
      </c>
      <c r="B6" s="7" t="n">
        <v>60</v>
      </c>
    </row>
    <row r="7">
      <c r="A7" t="inlineStr">
        <is>
          <t>Pop tier</t>
        </is>
      </c>
      <c r="B7" t="inlineStr">
        <is>
          <t>Comfortable</t>
        </is>
      </c>
    </row>
    <row r="8">
      <c r="A8" t="inlineStr">
        <is>
          <t>People Capacity multiplier</t>
        </is>
      </c>
      <c r="B8" s="40" t="n">
        <v>1.75</v>
      </c>
    </row>
    <row r="9">
      <c r="A9" t="inlineStr">
        <is>
          <t>People Capacity available</t>
        </is>
      </c>
      <c r="B9" s="41">
        <f>B6*B8</f>
        <v/>
      </c>
      <c r="C9" s="2" t="inlineStr">
        <is>
          <t>(Pop × multiplier; Earth-orbit starter +8 not included — single-colony view)</t>
        </is>
      </c>
    </row>
    <row r="10">
      <c r="A10" t="inlineStr">
        <is>
          <t>Grid slots (assume 7×7 lunar habitat, mid-roll)</t>
        </is>
      </c>
      <c r="B10" s="7" t="n">
        <v>49</v>
      </c>
    </row>
    <row r="11">
      <c r="A11" t="inlineStr">
        <is>
          <t>Reserved for habitat life support buildings (Water/O2/Food)</t>
        </is>
      </c>
      <c r="B11" s="7" t="n">
        <v>3</v>
      </c>
    </row>
    <row r="12">
      <c r="A12" t="inlineStr">
        <is>
          <t>Reserved for storage (Silos + Tank)</t>
        </is>
      </c>
      <c r="B12" s="7" t="n">
        <v>4</v>
      </c>
    </row>
    <row r="13">
      <c r="A13" t="inlineStr">
        <is>
          <t>Slots available for production</t>
        </is>
      </c>
      <c r="B13" s="8">
        <f>B10-B11-B12</f>
        <v/>
      </c>
    </row>
    <row r="15">
      <c r="A15" s="38" t="inlineStr">
        <is>
          <t>2. Continuous Per-Pop Demand → Total Rate Needed</t>
        </is>
      </c>
      <c r="B15" s="39" t="n"/>
      <c r="C15" s="39" t="n"/>
      <c r="D15" s="39" t="n"/>
      <c r="E15" s="39" t="n"/>
      <c r="F15" s="39" t="n"/>
      <c r="G15" s="39" t="n"/>
      <c r="H15" s="39" t="n"/>
    </row>
    <row r="16" ht="28" customHeight="1">
      <c r="A16" s="10" t="inlineStr">
        <is>
          <t>Need</t>
        </is>
      </c>
      <c r="B16" s="10" t="inlineStr">
        <is>
          <t>Spec (per pop)</t>
        </is>
      </c>
      <c r="C16" s="10" t="inlineStr">
        <is>
          <t>Per-pop /min</t>
        </is>
      </c>
      <c r="D16" s="10" t="inlineStr">
        <is>
          <t>Total /min @ 60 pop</t>
        </is>
      </c>
      <c r="E16" s="10" t="inlineStr"/>
      <c r="F16" s="10" t="inlineStr"/>
      <c r="G16" s="10" t="inlineStr"/>
      <c r="H16" s="10" t="inlineStr">
        <is>
          <t>Notes</t>
        </is>
      </c>
    </row>
    <row r="17">
      <c r="A17" s="12" t="inlineStr">
        <is>
          <t>Water Ice</t>
        </is>
      </c>
      <c r="B17" s="12" t="inlineStr">
        <is>
          <t>1 / pop / 8 min</t>
        </is>
      </c>
      <c r="C17" s="42" t="n">
        <v>0.125</v>
      </c>
      <c r="D17" s="19">
        <f>$B$6*C17</f>
        <v/>
      </c>
      <c r="E17" s="43" t="n"/>
      <c r="F17" s="43" t="n"/>
      <c r="G17" s="43" t="n"/>
      <c r="H17" s="44" t="inlineStr">
        <is>
          <t>Life Support — Water</t>
        </is>
      </c>
    </row>
    <row r="18">
      <c r="A18" s="12" t="inlineStr">
        <is>
          <t>Oxygen</t>
        </is>
      </c>
      <c r="B18" s="12" t="inlineStr">
        <is>
          <t>1 / pop / 6 min</t>
        </is>
      </c>
      <c r="C18" s="42" t="n">
        <v>0.1666666666666667</v>
      </c>
      <c r="D18" s="19">
        <f>$B$6*C18</f>
        <v/>
      </c>
      <c r="E18" s="43" t="n"/>
      <c r="F18" s="43" t="n"/>
      <c r="G18" s="43" t="n"/>
      <c r="H18" s="44" t="inlineStr">
        <is>
          <t>Life Support — Oxygen</t>
        </is>
      </c>
    </row>
    <row r="19">
      <c r="A19" s="12" t="inlineStr">
        <is>
          <t>Food Pack</t>
        </is>
      </c>
      <c r="B19" s="12" t="inlineStr">
        <is>
          <t>1 / pop / 12 min</t>
        </is>
      </c>
      <c r="C19" s="42" t="n">
        <v>0.08333333333333333</v>
      </c>
      <c r="D19" s="19">
        <f>$B$6*C19</f>
        <v/>
      </c>
      <c r="E19" s="43" t="n"/>
      <c r="F19" s="43" t="n"/>
      <c r="G19" s="43" t="n"/>
      <c r="H19" s="44" t="inlineStr">
        <is>
          <t>Life Support — Food</t>
        </is>
      </c>
    </row>
    <row r="20">
      <c r="A20" s="12" t="inlineStr">
        <is>
          <t>Pressure Valves</t>
        </is>
      </c>
      <c r="B20" s="12" t="inlineStr">
        <is>
          <t>1 / pop / 30 min (Growing tier+)</t>
        </is>
      </c>
      <c r="C20" s="42" t="n">
        <v>0.03333333333333333</v>
      </c>
      <c r="D20" s="19">
        <f>$B$6*C20</f>
        <v/>
      </c>
      <c r="E20" s="43" t="n"/>
      <c r="F20" s="43" t="n"/>
      <c r="G20" s="43" t="n"/>
      <c r="H20" s="44" t="inlineStr">
        <is>
          <t>Drip</t>
        </is>
      </c>
    </row>
    <row r="21">
      <c r="A21" s="12" t="inlineStr">
        <is>
          <t>Textiles</t>
        </is>
      </c>
      <c r="B21" s="12" t="inlineStr">
        <is>
          <t>1 / pop / 60 min (Comfortable tier+)</t>
        </is>
      </c>
      <c r="C21" s="42" t="n">
        <v>0.01666666666666667</v>
      </c>
      <c r="D21" s="19">
        <f>$B$6*C21</f>
        <v/>
      </c>
      <c r="E21" s="43" t="n"/>
      <c r="F21" s="43" t="n"/>
      <c r="G21" s="43" t="n"/>
      <c r="H21" s="44" t="inlineStr">
        <is>
          <t>Drip</t>
        </is>
      </c>
    </row>
    <row r="24">
      <c r="A24" s="38" t="inlineStr">
        <is>
          <t>3. Building Throughput → Buildings Required (ceiling)</t>
        </is>
      </c>
      <c r="B24" s="39" t="n"/>
      <c r="C24" s="39" t="n"/>
      <c r="D24" s="39" t="n"/>
      <c r="E24" s="39" t="n"/>
      <c r="F24" s="39" t="n"/>
      <c r="G24" s="39" t="n"/>
      <c r="H24" s="39" t="n"/>
    </row>
    <row r="25" ht="28" customHeight="1">
      <c r="A25" s="10" t="inlineStr">
        <is>
          <t>Building</t>
        </is>
      </c>
      <c r="B25" s="10" t="inlineStr">
        <is>
          <t>Cycle (s)</t>
        </is>
      </c>
      <c r="C25" s="10" t="inlineStr">
        <is>
          <t>Output qty/cycle</t>
        </is>
      </c>
      <c r="D25" s="10" t="inlineStr">
        <is>
          <t>Output rate/min</t>
        </is>
      </c>
      <c r="E25" s="10" t="inlineStr">
        <is>
          <t>Demand /min</t>
        </is>
      </c>
      <c r="F25" s="10" t="inlineStr">
        <is>
          <t>Buildings needed</t>
        </is>
      </c>
      <c r="G25" s="10" t="inlineStr">
        <is>
          <t>People per</t>
        </is>
      </c>
      <c r="H25" s="10" t="inlineStr">
        <is>
          <t>Total people</t>
        </is>
      </c>
    </row>
    <row r="26">
      <c r="A26" s="12" t="inlineStr">
        <is>
          <t>Ice Mine</t>
        </is>
      </c>
      <c r="B26" s="16" t="n">
        <v>40</v>
      </c>
      <c r="C26" s="16" t="n">
        <v>8</v>
      </c>
      <c r="D26" s="19">
        <f>C26*60/B26</f>
        <v/>
      </c>
      <c r="E26" s="45">
        <f>D17</f>
        <v/>
      </c>
      <c r="F26" s="17">
        <f>ROUNDUP(E26/D26,0)</f>
        <v/>
      </c>
      <c r="G26" s="16" t="n">
        <v>2</v>
      </c>
      <c r="H26" s="17">
        <f>F26*G26</f>
        <v/>
      </c>
    </row>
    <row r="27">
      <c r="A27" s="12" t="inlineStr">
        <is>
          <t>Electrolyzer (for Oxygen)</t>
        </is>
      </c>
      <c r="B27" s="16" t="n">
        <v>60</v>
      </c>
      <c r="C27" s="16" t="n">
        <v>1</v>
      </c>
      <c r="D27" s="19">
        <f>C27*60/B27</f>
        <v/>
      </c>
      <c r="E27" s="45">
        <f>D18</f>
        <v/>
      </c>
      <c r="F27" s="17">
        <f>ROUNDUP(E27/D27,0)</f>
        <v/>
      </c>
      <c r="G27" s="16" t="n">
        <v>3</v>
      </c>
      <c r="H27" s="17">
        <f>F27*G27</f>
        <v/>
      </c>
    </row>
    <row r="28">
      <c r="A28" s="12" t="inlineStr">
        <is>
          <t>Hydroponic Greenhouse (T2 upgrade)</t>
        </is>
      </c>
      <c r="B28" s="16" t="n">
        <v>45</v>
      </c>
      <c r="C28" s="16" t="n">
        <v>4</v>
      </c>
      <c r="D28" s="19">
        <f>C28*60/B28</f>
        <v/>
      </c>
      <c r="E28" s="45">
        <f>D19</f>
        <v/>
      </c>
      <c r="F28" s="17">
        <f>ROUNDUP(E28/D28,0)</f>
        <v/>
      </c>
      <c r="G28" s="16" t="n">
        <v>3</v>
      </c>
      <c r="H28" s="17">
        <f>F28*G28</f>
        <v/>
      </c>
    </row>
    <row r="29">
      <c r="A29" s="12" t="inlineStr">
        <is>
          <t>Hydroponics Bay (input to Hydro Greenhouse)</t>
        </is>
      </c>
      <c r="B29" s="16" t="n">
        <v>60</v>
      </c>
      <c r="C29" s="16" t="n">
        <v>2</v>
      </c>
      <c r="D29" s="19">
        <f>C29*60/B29</f>
        <v/>
      </c>
      <c r="E29" s="19">
        <f>2*60/B28*F28</f>
        <v/>
      </c>
      <c r="F29" s="17">
        <f>ROUNDUP(E29/D29,0)</f>
        <v/>
      </c>
      <c r="G29" s="16" t="n">
        <v>3</v>
      </c>
      <c r="H29" s="17">
        <f>F29*G29</f>
        <v/>
      </c>
    </row>
    <row r="30">
      <c r="A30" s="12" t="inlineStr">
        <is>
          <t>Pressure-Valve Forge</t>
        </is>
      </c>
      <c r="B30" s="16" t="n">
        <v>120</v>
      </c>
      <c r="C30" s="16" t="n">
        <v>1</v>
      </c>
      <c r="D30" s="19">
        <f>C30*60/B30</f>
        <v/>
      </c>
      <c r="E30" s="45">
        <f>D20</f>
        <v/>
      </c>
      <c r="F30" s="17">
        <f>ROUNDUP(E30/D30,0)</f>
        <v/>
      </c>
      <c r="G30" s="16" t="n">
        <v>5</v>
      </c>
      <c r="H30" s="17">
        <f>F30*G30</f>
        <v/>
      </c>
    </row>
    <row r="31">
      <c r="A31" s="12" t="inlineStr">
        <is>
          <t>Textile Mill</t>
        </is>
      </c>
      <c r="B31" s="16" t="n">
        <v>100</v>
      </c>
      <c r="C31" s="16" t="n">
        <v>2</v>
      </c>
      <c r="D31" s="19">
        <f>C31*60/B31</f>
        <v/>
      </c>
      <c r="E31" s="45">
        <f>D21</f>
        <v/>
      </c>
      <c r="F31" s="17">
        <f>ROUNDUP(E31/D31,0)</f>
        <v/>
      </c>
      <c r="G31" s="16" t="n">
        <v>4</v>
      </c>
      <c r="H31" s="17">
        <f>F31*G31</f>
        <v/>
      </c>
    </row>
    <row r="33">
      <c r="A33" s="38" t="inlineStr">
        <is>
          <t>4. Upstream feed required (raw + intermediate)</t>
        </is>
      </c>
      <c r="B33" s="39" t="n"/>
      <c r="C33" s="39" t="n"/>
      <c r="D33" s="39" t="n"/>
      <c r="E33" s="39" t="n"/>
      <c r="F33" s="39" t="n"/>
      <c r="G33" s="39" t="n"/>
      <c r="H33" s="39" t="n"/>
    </row>
    <row r="34" ht="28" customHeight="1">
      <c r="A34" s="10" t="inlineStr">
        <is>
          <t>Building</t>
        </is>
      </c>
      <c r="B34" s="10" t="inlineStr">
        <is>
          <t>Cycle (s)</t>
        </is>
      </c>
      <c r="C34" s="10" t="inlineStr">
        <is>
          <t>Output qty/cycle</t>
        </is>
      </c>
      <c r="D34" s="10" t="inlineStr">
        <is>
          <t>Output rate/min</t>
        </is>
      </c>
      <c r="E34" s="10" t="inlineStr">
        <is>
          <t>Demand /min</t>
        </is>
      </c>
      <c r="F34" s="10" t="inlineStr">
        <is>
          <t>Buildings needed</t>
        </is>
      </c>
      <c r="G34" s="10" t="inlineStr">
        <is>
          <t>People per</t>
        </is>
      </c>
      <c r="H34" s="10" t="inlineStr">
        <is>
          <t>Total people</t>
        </is>
      </c>
    </row>
    <row r="35">
      <c r="A35" s="12" t="inlineStr">
        <is>
          <t>Refined Metal needed (for PV Forges)</t>
        </is>
      </c>
      <c r="B35" s="12" t="inlineStr">
        <is>
          <t>—</t>
        </is>
      </c>
      <c r="C35" s="12" t="inlineStr">
        <is>
          <t>—</t>
        </is>
      </c>
      <c r="D35" s="12" t="inlineStr">
        <is>
          <t>—</t>
        </is>
      </c>
      <c r="E35" s="19">
        <f>2*60/B30*F30</f>
        <v/>
      </c>
      <c r="F35" s="43" t="n"/>
      <c r="G35" s="43" t="n"/>
      <c r="H35" s="43" t="n"/>
    </row>
    <row r="36">
      <c r="A36" s="12" t="inlineStr">
        <is>
          <t>Smelter (5 Iron Ore → 2 Refined Metal)</t>
        </is>
      </c>
      <c r="B36" s="16" t="n">
        <v>45</v>
      </c>
      <c r="C36" s="16" t="n">
        <v>2</v>
      </c>
      <c r="D36" s="19">
        <f>C36*60/B36</f>
        <v/>
      </c>
      <c r="E36" s="45">
        <f>E35</f>
        <v/>
      </c>
      <c r="F36" s="17">
        <f>ROUNDUP(E36/D36,0)</f>
        <v/>
      </c>
      <c r="G36" s="16" t="n">
        <v>3</v>
      </c>
      <c r="H36" s="17">
        <f>F36*G36</f>
        <v/>
      </c>
    </row>
    <row r="37">
      <c r="A37" s="12" t="inlineStr">
        <is>
          <t>Iron Ore needed (for Smelters)</t>
        </is>
      </c>
      <c r="B37" s="12" t="inlineStr">
        <is>
          <t>—</t>
        </is>
      </c>
      <c r="C37" s="12" t="inlineStr">
        <is>
          <t>—</t>
        </is>
      </c>
      <c r="D37" s="12" t="inlineStr">
        <is>
          <t>—</t>
        </is>
      </c>
      <c r="E37" s="19">
        <f>5*60/B36*F36</f>
        <v/>
      </c>
      <c r="F37" s="43" t="n"/>
      <c r="G37" s="43" t="n"/>
      <c r="H37" s="43" t="n"/>
    </row>
    <row r="38">
      <c r="A38" s="12" t="inlineStr">
        <is>
          <t>Small Mine (10 Iron Ore)</t>
        </is>
      </c>
      <c r="B38" s="16" t="n">
        <v>30</v>
      </c>
      <c r="C38" s="16" t="n">
        <v>10</v>
      </c>
      <c r="D38" s="19">
        <f>C38*60/B38</f>
        <v/>
      </c>
      <c r="E38" s="43" t="n"/>
      <c r="F38" s="17">
        <f>ROUNDUP(E37/D38,0)</f>
        <v/>
      </c>
      <c r="G38" s="16" t="n">
        <v>2</v>
      </c>
      <c r="H38" s="17">
        <f>F38*G38</f>
        <v/>
      </c>
    </row>
    <row r="39">
      <c r="A39" s="12" t="inlineStr">
        <is>
          <t>Nickel Ore needed (for PV Forges)</t>
        </is>
      </c>
      <c r="B39" s="12" t="inlineStr">
        <is>
          <t>—</t>
        </is>
      </c>
      <c r="C39" s="12" t="inlineStr">
        <is>
          <t>—</t>
        </is>
      </c>
      <c r="D39" s="12" t="inlineStr">
        <is>
          <t>—</t>
        </is>
      </c>
      <c r="E39" s="19">
        <f>1*60/B30*F30</f>
        <v/>
      </c>
      <c r="F39" s="43" t="n"/>
      <c r="G39" s="43" t="n"/>
      <c r="H39" s="43" t="n"/>
    </row>
    <row r="40">
      <c r="A40" s="12" t="inlineStr">
        <is>
          <t>NEA Mine (Nickel)</t>
        </is>
      </c>
      <c r="B40" s="16" t="n">
        <v>45</v>
      </c>
      <c r="C40" s="16" t="n">
        <v>6</v>
      </c>
      <c r="D40" s="19">
        <f>C40*60/B40</f>
        <v/>
      </c>
      <c r="E40" s="43" t="n"/>
      <c r="F40" s="17">
        <f>ROUNDUP(E39/D40,0)</f>
        <v/>
      </c>
      <c r="G40" s="16" t="n">
        <v>3</v>
      </c>
      <c r="H40" s="17">
        <f>F40*G40</f>
        <v/>
      </c>
    </row>
    <row r="41">
      <c r="A41" s="12" t="inlineStr">
        <is>
          <t>Carbon Mesh needed (for Textile Mills)</t>
        </is>
      </c>
      <c r="B41" s="12" t="inlineStr">
        <is>
          <t>—</t>
        </is>
      </c>
      <c r="C41" s="12" t="inlineStr">
        <is>
          <t>—</t>
        </is>
      </c>
      <c r="D41" s="12" t="inlineStr">
        <is>
          <t>—</t>
        </is>
      </c>
      <c r="E41" s="19">
        <f>2*60/B31*F31</f>
        <v/>
      </c>
      <c r="F41" s="43" t="n"/>
      <c r="G41" s="43" t="n"/>
      <c r="H41" s="43" t="n"/>
    </row>
    <row r="42">
      <c r="A42" s="12" t="inlineStr">
        <is>
          <t>Carbon Mill (3 Carbon Ore + 1 RM → 2 Carbon Mesh)</t>
        </is>
      </c>
      <c r="B42" s="16" t="n">
        <v>75</v>
      </c>
      <c r="C42" s="16" t="n">
        <v>2</v>
      </c>
      <c r="D42" s="19">
        <f>C42*60/B42</f>
        <v/>
      </c>
      <c r="E42" s="45">
        <f>E41</f>
        <v/>
      </c>
      <c r="F42" s="17">
        <f>ROUNDUP(E42/D42,0)</f>
        <v/>
      </c>
      <c r="G42" s="16" t="n">
        <v>4</v>
      </c>
      <c r="H42" s="17">
        <f>F42*G42</f>
        <v/>
      </c>
    </row>
    <row r="43">
      <c r="A43" s="12" t="inlineStr">
        <is>
          <t>Carbonaceous Ore needed (for Carbon Mill)</t>
        </is>
      </c>
      <c r="B43" s="12" t="inlineStr">
        <is>
          <t>—</t>
        </is>
      </c>
      <c r="C43" s="12" t="inlineStr">
        <is>
          <t>—</t>
        </is>
      </c>
      <c r="D43" s="12" t="inlineStr">
        <is>
          <t>—</t>
        </is>
      </c>
      <c r="E43" s="19">
        <f>3*60/B42*F42</f>
        <v/>
      </c>
      <c r="F43" s="43" t="n"/>
      <c r="G43" s="43" t="n"/>
      <c r="H43" s="43" t="n"/>
    </row>
    <row r="44">
      <c r="A44" s="12" t="inlineStr">
        <is>
          <t>NEA Mine (Carbon)</t>
        </is>
      </c>
      <c r="B44" s="16" t="n">
        <v>45</v>
      </c>
      <c r="C44" s="16" t="n">
        <v>6</v>
      </c>
      <c r="D44" s="19">
        <f>C44*60/B44</f>
        <v/>
      </c>
      <c r="E44" s="43" t="n"/>
      <c r="F44" s="17">
        <f>ROUNDUP(E43/D44,0)</f>
        <v/>
      </c>
      <c r="G44" s="16" t="n">
        <v>3</v>
      </c>
      <c r="H44" s="17">
        <f>F44*G44</f>
        <v/>
      </c>
    </row>
    <row r="46">
      <c r="A46" s="38" t="inlineStr">
        <is>
          <t>5. Roll-up: people-cost and slot-count totals</t>
        </is>
      </c>
      <c r="B46" s="39" t="n"/>
      <c r="C46" s="39" t="n"/>
      <c r="D46" s="39" t="n"/>
      <c r="E46" s="39" t="n"/>
      <c r="F46" s="39" t="n"/>
      <c r="G46" s="39" t="n"/>
      <c r="H46" s="39" t="n"/>
    </row>
    <row r="47" ht="28" customHeight="1">
      <c r="A47" s="10" t="inlineStr">
        <is>
          <t>Category</t>
        </is>
      </c>
      <c r="B47" s="10" t="inlineStr">
        <is>
          <t>Buildings (count)</t>
        </is>
      </c>
      <c r="C47" s="10" t="inlineStr">
        <is>
          <t>People used</t>
        </is>
      </c>
      <c r="D47" s="10" t="inlineStr">
        <is>
          <t>Slots used</t>
        </is>
      </c>
      <c r="E47" s="10" t="inlineStr"/>
      <c r="F47" s="10" t="inlineStr"/>
      <c r="G47" s="10" t="inlineStr"/>
      <c r="H47" s="10" t="inlineStr"/>
    </row>
    <row r="48">
      <c r="A48" t="inlineStr">
        <is>
          <t>Direct chain (water/O2/food/valves/textiles)</t>
        </is>
      </c>
      <c r="B48" s="8">
        <f>SUM(F26,F27,F28,F29,F30,F31)</f>
        <v/>
      </c>
      <c r="C48" s="8">
        <f>SUM(H26,H27,H28,H29,H30,H31)</f>
        <v/>
      </c>
      <c r="D48" s="8">
        <f>SUM(F26,F27,F28,F29,F30,F31)</f>
        <v/>
      </c>
    </row>
    <row r="49">
      <c r="A49" t="inlineStr">
        <is>
          <t>Upstream chain (smelter, mines, carbon mill)</t>
        </is>
      </c>
      <c r="B49" s="8">
        <f>SUM(F36,F38,F40,F42,F44)</f>
        <v/>
      </c>
      <c r="C49" s="8">
        <f>SUM(H36,H38,H40,H42,H44)</f>
        <v/>
      </c>
      <c r="D49" s="8">
        <f>SUM(F36,F38,F40,F42,F44)</f>
        <v/>
      </c>
    </row>
    <row r="50">
      <c r="A50" t="inlineStr">
        <is>
          <t>Life support buildings (Water/O2/Food)</t>
        </is>
      </c>
      <c r="B50" s="7" t="n">
        <v>3</v>
      </c>
      <c r="C50" s="8">
        <f>B50*1</f>
        <v/>
      </c>
      <c r="D50" s="8">
        <f>B50</f>
        <v/>
      </c>
    </row>
    <row r="51">
      <c r="A51" t="inlineStr">
        <is>
          <t>Storage (Silos + Tanks)</t>
        </is>
      </c>
      <c r="B51" s="9">
        <f>B12</f>
        <v/>
      </c>
      <c r="C51" s="7" t="n">
        <v>0</v>
      </c>
      <c r="D51" s="9">
        <f>B12</f>
        <v/>
      </c>
    </row>
    <row r="52">
      <c r="A52" s="6" t="inlineStr">
        <is>
          <t>TOTAL</t>
        </is>
      </c>
      <c r="B52" s="6">
        <f>B48+B49+B50+B51</f>
        <v/>
      </c>
      <c r="C52" s="6">
        <f>C48+C49+C50+C51</f>
        <v/>
      </c>
      <c r="D52" s="6">
        <f>D48+D49+D50+D51</f>
        <v/>
      </c>
    </row>
    <row r="54">
      <c r="A54" s="6" t="inlineStr">
        <is>
          <t>People Capacity available</t>
        </is>
      </c>
      <c r="B54" s="46">
        <f>B9</f>
        <v/>
      </c>
    </row>
    <row r="55">
      <c r="A55" t="inlineStr">
        <is>
          <t>Slack people (positive = healthy, negative = capacity-bound)</t>
        </is>
      </c>
      <c r="B55" s="47">
        <f>B54-C52</f>
        <v/>
      </c>
    </row>
    <row r="57">
      <c r="A57" s="6" t="inlineStr">
        <is>
          <t>Grid slots available for production</t>
        </is>
      </c>
      <c r="B57" s="9">
        <f>B13</f>
        <v/>
      </c>
    </row>
    <row r="58">
      <c r="A58" t="inlineStr">
        <is>
          <t>Slack slots (positive = healthy, negative = layout-bound)</t>
        </is>
      </c>
      <c r="B58" s="48">
        <f>B57-D52+B50+B51</f>
        <v/>
      </c>
    </row>
    <row r="60">
      <c r="A60" s="38" t="inlineStr">
        <is>
          <t>6. Math-feel findings (interpret slack values)</t>
        </is>
      </c>
      <c r="B60" s="39" t="n"/>
      <c r="C60" s="39" t="n"/>
      <c r="D60" s="39" t="n"/>
      <c r="E60" s="39" t="n"/>
      <c r="F60" s="39" t="n"/>
      <c r="G60" s="39" t="n"/>
      <c r="H60" s="39" t="n"/>
    </row>
    <row r="61">
      <c r="A61" s="26" t="inlineStr">
        <is>
          <t>If Slack people &lt; 0: Comfortable colony cannot run all chains locally — must import or distribute across bodies.</t>
        </is>
      </c>
    </row>
    <row r="62">
      <c r="A62" s="26" t="inlineStr">
        <is>
          <t>If Slack slots &lt; 0: 7×7 lunar habitat is too tight for full Comfortable build-out — forces specialization or a second body.</t>
        </is>
      </c>
    </row>
    <row r="63">
      <c r="A63" s="26" t="inlineStr">
        <is>
          <t>Oxygen demand at 60 pop = 10/min; Electrolyzer outputs 1 O2/cycle/60s = 1/min. ⇒ 10 Electrolyzers if local-only.</t>
        </is>
      </c>
    </row>
    <row r="64">
      <c r="A64" s="26" t="inlineStr">
        <is>
          <t xml:space="preserve">  → This is the load-bearing 'Aluminum is over-demanded' (Pending #17) signal: Electrolyzer + Refinery competing for Aluminum.</t>
        </is>
      </c>
    </row>
    <row r="65">
      <c r="A65" s="26" t="inlineStr">
        <is>
          <t xml:space="preserve">  → Realistic resolution at v1: import Oxygen via tanker route from a body running excess Electrolysis (multi-stop is from T0 specifically for this).</t>
        </is>
      </c>
    </row>
    <row r="66">
      <c r="A66" s="26" t="inlineStr">
        <is>
          <t>Carbon Mesh demand for Textiles + Furnishings (when both active) = ~2× single-stream → Carbon Ore single-source bottleneck (Pending #16).</t>
        </is>
      </c>
    </row>
    <row r="67">
      <c r="A67" s="26" t="inlineStr">
        <is>
          <t>Pressure-Valve Forge cycle 120s producing 1 PV → 0.5/min; 60-pop demand 2/min ⇒ 4 forges, 20 people. Largest single people-cost line item.</t>
        </is>
      </c>
    </row>
    <row r="68">
      <c r="A68" s="26" t="inlineStr">
        <is>
          <t>If chain math is unhealthy, dial: per-pop drip rates (slowest), cycle times (medium), or Electrolyzer output qty (cleanest fix).</t>
        </is>
      </c>
    </row>
    <row r="70">
      <c r="A70" s="38" t="inlineStr">
        <is>
          <t>Stage 3 playtest acceptance (math-feel)</t>
        </is>
      </c>
    </row>
    <row r="71">
      <c r="A71" s="26" t="inlineStr">
        <is>
          <t>1. A 60-pop Comfortable lunar habitat is achievable on a 7×7 grid without exporting most needs (oxygen import is acceptable).</t>
        </is>
      </c>
    </row>
    <row r="72">
      <c r="A72" s="26" t="inlineStr">
        <is>
          <t>2. People Capacity slack at full Comfortable build-out: 5–25 (not 0, not 50) — capacity is a real lever.</t>
        </is>
      </c>
    </row>
    <row r="73">
      <c r="A73" s="26" t="inlineStr">
        <is>
          <t>3. Slot slack: 1–8 — layout-decision floor (R72) is real.</t>
        </is>
      </c>
    </row>
    <row r="74">
      <c r="A74" s="26" t="inlineStr">
        <is>
          <t>4. Adjacency at 15–35% feels load-bearing on a 4×4 NEA (verify against the Adjacency_Pairs sheet).</t>
        </is>
      </c>
    </row>
  </sheetData>
  <mergeCells count="12">
    <mergeCell ref="A67:H67"/>
    <mergeCell ref="A62:H62"/>
    <mergeCell ref="A65:H65"/>
    <mergeCell ref="A73:H73"/>
    <mergeCell ref="A71:H71"/>
    <mergeCell ref="A63:H63"/>
    <mergeCell ref="A64:H64"/>
    <mergeCell ref="A72:H72"/>
    <mergeCell ref="A68:H68"/>
    <mergeCell ref="A66:H66"/>
    <mergeCell ref="A61:H61"/>
    <mergeCell ref="A74:H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2026-04-30T00:02:27Z</dcterms:created>
  <dcterms:modified xsi:type="dcterms:W3CDTF">2026-04-30T00:02:27Z</dcterms:modified>
</cp:coreProperties>
</file>